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2026\"/>
    </mc:Choice>
  </mc:AlternateContent>
  <bookViews>
    <workbookView xWindow="0" yWindow="0" windowWidth="20490" windowHeight="7755" firstSheet="2" activeTab="8"/>
  </bookViews>
  <sheets>
    <sheet name="JAN 2026" sheetId="1" r:id="rId1"/>
    <sheet name="FEV 2026" sheetId="2" r:id="rId2"/>
    <sheet name="MAR 2026" sheetId="3" r:id="rId3"/>
    <sheet name="ABR 2026" sheetId="4" r:id="rId4"/>
    <sheet name="MAIO 2026" sheetId="5" r:id="rId5"/>
    <sheet name="JUNH 2026" sheetId="6" r:id="rId6"/>
    <sheet name="JULHO 2026" sheetId="7" r:id="rId7"/>
    <sheet name="AGOSTO 26" sheetId="8" r:id="rId8"/>
    <sheet name="set 2026" sheetId="9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" i="8" l="1"/>
  <c r="C45" i="9"/>
  <c r="I41" i="9"/>
  <c r="I15" i="9"/>
  <c r="D11" i="9"/>
  <c r="I41" i="8" l="1"/>
  <c r="C47" i="8"/>
  <c r="C30" i="8" l="1"/>
  <c r="I15" i="8"/>
  <c r="D11" i="8"/>
  <c r="I29" i="7" l="1"/>
  <c r="C32" i="7"/>
  <c r="C46" i="7" l="1"/>
  <c r="I44" i="7"/>
  <c r="I15" i="7"/>
  <c r="D14" i="7"/>
  <c r="I40" i="6" l="1"/>
  <c r="C46" i="6"/>
  <c r="I25" i="6"/>
  <c r="C32" i="6"/>
  <c r="D14" i="6"/>
  <c r="I15" i="6"/>
  <c r="I39" i="5" l="1"/>
  <c r="C44" i="5"/>
  <c r="I25" i="5"/>
  <c r="C31" i="5"/>
  <c r="I15" i="5"/>
  <c r="D13" i="5"/>
  <c r="I40" i="4" l="1"/>
  <c r="C44" i="4"/>
  <c r="C31" i="4" l="1"/>
  <c r="I24" i="4"/>
  <c r="I14" i="4"/>
  <c r="D14" i="3" l="1"/>
  <c r="I41" i="3"/>
  <c r="C44" i="3"/>
  <c r="C31" i="3"/>
  <c r="I24" i="3"/>
  <c r="I14" i="3"/>
  <c r="D14" i="4"/>
  <c r="H28" i="2" l="1"/>
  <c r="D34" i="2"/>
  <c r="H14" i="2"/>
  <c r="I29" i="1" l="1"/>
  <c r="H15" i="1"/>
  <c r="D1048576" i="1"/>
  <c r="G10" i="1" l="1"/>
  <c r="G9" i="1"/>
  <c r="G7" i="1"/>
  <c r="G6" i="1"/>
  <c r="G5" i="1"/>
  <c r="G4" i="1"/>
  <c r="G3" i="1"/>
  <c r="B27" i="1"/>
  <c r="B26" i="1"/>
  <c r="B25" i="1"/>
  <c r="B24" i="1"/>
  <c r="B23" i="1"/>
  <c r="B22" i="1"/>
  <c r="B21" i="1"/>
  <c r="B20" i="1"/>
  <c r="B19" i="1"/>
  <c r="B18" i="1"/>
  <c r="B17" i="1"/>
  <c r="B14" i="1"/>
  <c r="B15" i="1"/>
  <c r="B16" i="1"/>
  <c r="B13" i="1"/>
  <c r="B12" i="1"/>
  <c r="B10" i="1"/>
  <c r="B9" i="1"/>
  <c r="B8" i="1"/>
  <c r="B6" i="1"/>
  <c r="B7" i="1"/>
  <c r="B5" i="1"/>
</calcChain>
</file>

<file path=xl/sharedStrings.xml><?xml version="1.0" encoding="utf-8"?>
<sst xmlns="http://schemas.openxmlformats.org/spreadsheetml/2006/main" count="930" uniqueCount="249">
  <si>
    <t>CLIENTE</t>
  </si>
  <si>
    <t>DT.VENC</t>
  </si>
  <si>
    <t>Parcela</t>
  </si>
  <si>
    <t>PAGAMENTO</t>
  </si>
  <si>
    <t>SERVIÇO</t>
  </si>
  <si>
    <t>DT. Venc</t>
  </si>
  <si>
    <t>Situação</t>
  </si>
  <si>
    <t>STRADA 2018</t>
  </si>
  <si>
    <t>30/48</t>
  </si>
  <si>
    <t>AGUA CASA</t>
  </si>
  <si>
    <t>LUZ LOJA</t>
  </si>
  <si>
    <t>CARTÃO ATACADÃO</t>
  </si>
  <si>
    <t>CARTAO EXTRA ARLENE</t>
  </si>
  <si>
    <t>LUZ TERRENO</t>
  </si>
  <si>
    <t>CARTÃO ASSAI SOCORRO</t>
  </si>
  <si>
    <t>INTERNET CASA</t>
  </si>
  <si>
    <t>FACULDADE KAIQUE</t>
  </si>
  <si>
    <t xml:space="preserve">PASSAGEM </t>
  </si>
  <si>
    <t>INTERNET TERRENO</t>
  </si>
  <si>
    <t>HILUX ARLENE</t>
  </si>
  <si>
    <t>Colegio sophia</t>
  </si>
  <si>
    <t>BRISA</t>
  </si>
  <si>
    <t>ALUGUEL SOLON</t>
  </si>
  <si>
    <t>CELULAR VIVO</t>
  </si>
  <si>
    <t>CARTÃO ASSAI ARLENE</t>
  </si>
  <si>
    <t>HAPVIDA</t>
  </si>
  <si>
    <t>CARTÃO EXTRA</t>
  </si>
  <si>
    <t xml:space="preserve">R30 </t>
  </si>
  <si>
    <t xml:space="preserve">    FUNCIONARIOS</t>
  </si>
  <si>
    <t xml:space="preserve">    QUINZENA 1</t>
  </si>
  <si>
    <t>QUINZENA 15</t>
  </si>
  <si>
    <t>CAR DADOS</t>
  </si>
  <si>
    <t>KAIQUE</t>
  </si>
  <si>
    <t xml:space="preserve">                                                                                                                                                                                                                      </t>
  </si>
  <si>
    <t>CARTÃO ITAU</t>
  </si>
  <si>
    <t xml:space="preserve">DARF </t>
  </si>
  <si>
    <t>HILMARA</t>
  </si>
  <si>
    <t>CARTÃO CREDCAR</t>
  </si>
  <si>
    <t>ADRIANA</t>
  </si>
  <si>
    <t>SERASA</t>
  </si>
  <si>
    <t>MOBI AUTO</t>
  </si>
  <si>
    <t>NA PISTA</t>
  </si>
  <si>
    <t>SIMPLES NACIONAL</t>
  </si>
  <si>
    <t>OLX</t>
  </si>
  <si>
    <t>CARTÃO MERC LIVRE</t>
  </si>
  <si>
    <t>FGTS (CONTADOR)</t>
  </si>
  <si>
    <t>COROLLA PRETO 2013</t>
  </si>
  <si>
    <t>29/36</t>
  </si>
  <si>
    <t>CLASSIC FANCA</t>
  </si>
  <si>
    <t>CARTÃO BAHIA</t>
  </si>
  <si>
    <t>CARTÃO SANTANDER</t>
  </si>
  <si>
    <t xml:space="preserve">CARTÃO ITAU </t>
  </si>
  <si>
    <t>RECEITA FEDERAL INSS</t>
  </si>
  <si>
    <t>Hilux SW4</t>
  </si>
  <si>
    <t>2/25</t>
  </si>
  <si>
    <t>11/36</t>
  </si>
  <si>
    <t>CONTADOR ANTIGO</t>
  </si>
  <si>
    <t>PARCELA DE MOTO</t>
  </si>
  <si>
    <t>HILUX EVAIR</t>
  </si>
  <si>
    <t>24/41</t>
  </si>
  <si>
    <t>FGTS EMPREST</t>
  </si>
  <si>
    <t>05/18</t>
  </si>
  <si>
    <t>Ford Ka Santander</t>
  </si>
  <si>
    <t>02/15</t>
  </si>
  <si>
    <t>CONTADOR NOVO</t>
  </si>
  <si>
    <t>LOJA JANEIRO 2026</t>
  </si>
  <si>
    <t>CASA JANEIRO 2026</t>
  </si>
  <si>
    <t>LUZ CASA</t>
  </si>
  <si>
    <t>JEAN</t>
  </si>
  <si>
    <t>Josafa</t>
  </si>
  <si>
    <t>LOJA FEVEREIRO 2026</t>
  </si>
  <si>
    <t>CASA FEVEREIRO 2026</t>
  </si>
  <si>
    <t>34/48</t>
  </si>
  <si>
    <t>33/48</t>
  </si>
  <si>
    <t>3/25</t>
  </si>
  <si>
    <t>12/36</t>
  </si>
  <si>
    <t>10/36</t>
  </si>
  <si>
    <t>06/18</t>
  </si>
  <si>
    <t>29/02/2026</t>
  </si>
  <si>
    <t>31/48</t>
  </si>
  <si>
    <t>4/25</t>
  </si>
  <si>
    <t>13/36</t>
  </si>
  <si>
    <t>35/48</t>
  </si>
  <si>
    <t>25/41</t>
  </si>
  <si>
    <t>03/15</t>
  </si>
  <si>
    <t>12/27</t>
  </si>
  <si>
    <t>ISS</t>
  </si>
  <si>
    <t xml:space="preserve">RECEITA FEDERAL </t>
  </si>
  <si>
    <t>PIS E COFINS</t>
  </si>
  <si>
    <t>CASA E LOJA MARÇO  2026</t>
  </si>
  <si>
    <t>COLEGIO SOPHIA</t>
  </si>
  <si>
    <t>INTERNET LOJA</t>
  </si>
  <si>
    <t>FACULDADE DO KAIQUE</t>
  </si>
  <si>
    <t>JOSAFA</t>
  </si>
  <si>
    <t xml:space="preserve">CONTADOR </t>
  </si>
  <si>
    <t xml:space="preserve">SAVEIRO CD </t>
  </si>
  <si>
    <t>15/36</t>
  </si>
  <si>
    <t>ONIX VERMELHO</t>
  </si>
  <si>
    <t>39/48</t>
  </si>
  <si>
    <t xml:space="preserve">FIAT PULSE </t>
  </si>
  <si>
    <t>09/48</t>
  </si>
  <si>
    <t xml:space="preserve">STRADA 2018  </t>
  </si>
  <si>
    <t>TRAFEGO PAGO</t>
  </si>
  <si>
    <t xml:space="preserve">WEBMOTORS </t>
  </si>
  <si>
    <t xml:space="preserve">FGTS </t>
  </si>
  <si>
    <t>CONTAS LOJA MARÇO 2026</t>
  </si>
  <si>
    <t>CARTÕES MARÇO 2026</t>
  </si>
  <si>
    <t>GASTOS NA LOJA MARÇO 2026</t>
  </si>
  <si>
    <t xml:space="preserve">TOTAL = </t>
  </si>
  <si>
    <t>TOTAL =</t>
  </si>
  <si>
    <t>iss</t>
  </si>
  <si>
    <t>receita federal</t>
  </si>
  <si>
    <t>pis confins</t>
  </si>
  <si>
    <t>pulse</t>
  </si>
  <si>
    <t>saveiro</t>
  </si>
  <si>
    <t>onix vermelho</t>
  </si>
  <si>
    <t>CONTABILIDADE MARÇO  2026 MCAR LTDA</t>
  </si>
  <si>
    <t>CARTÃO EXTRA socorro</t>
  </si>
  <si>
    <t>CSLL DARF</t>
  </si>
  <si>
    <t>ICMS SEFAZ</t>
  </si>
  <si>
    <t>CONTABILIDADE MARÇO  2026 KM LTDA</t>
  </si>
  <si>
    <t>FGTS</t>
  </si>
  <si>
    <t xml:space="preserve">RECEITA </t>
  </si>
  <si>
    <t>CONTADOR</t>
  </si>
  <si>
    <t xml:space="preserve">58.277,42 FORA OS FUNCIONARIOS </t>
  </si>
  <si>
    <t>QUITAÇÃO AGILE</t>
  </si>
  <si>
    <t xml:space="preserve"> - CLIENTE </t>
  </si>
  <si>
    <t xml:space="preserve"> - CLIENTE</t>
  </si>
  <si>
    <t>TOTAL=</t>
  </si>
  <si>
    <t>CONTAS LOJA ABRIL 2026</t>
  </si>
  <si>
    <t>CARTÕES ABRIL 2026</t>
  </si>
  <si>
    <t>CASA E LOJA ABRIL  2026</t>
  </si>
  <si>
    <t>GASTOS NA LOJA ABRIL 2026</t>
  </si>
  <si>
    <t>CONTABILIDADE ABRIL  2026 MCAR LTDA</t>
  </si>
  <si>
    <t>CONTABILIDADE ABRIL  2026 KM LTDA</t>
  </si>
  <si>
    <t>32/48</t>
  </si>
  <si>
    <t>5/25</t>
  </si>
  <si>
    <t>10/48</t>
  </si>
  <si>
    <t>04/15</t>
  </si>
  <si>
    <t>14/36</t>
  </si>
  <si>
    <t>36/48</t>
  </si>
  <si>
    <t>16/36</t>
  </si>
  <si>
    <t>13/27</t>
  </si>
  <si>
    <t>26/41</t>
  </si>
  <si>
    <t>40/48</t>
  </si>
  <si>
    <t>ONIX VERMELHO BV</t>
  </si>
  <si>
    <t>HILUX EVAIR SANT</t>
  </si>
  <si>
    <t>CLASSIC FANCA SANT</t>
  </si>
  <si>
    <t>SAVEIRO CD  PAN</t>
  </si>
  <si>
    <t>PARCELA DE MOTO SANT</t>
  </si>
  <si>
    <t>HILUX ARLENE PAN</t>
  </si>
  <si>
    <t>FIAT PULSE  C6</t>
  </si>
  <si>
    <t>STRADA 2018  BRAD</t>
  </si>
  <si>
    <t>Hilux SW4 BRAD</t>
  </si>
  <si>
    <t>Ford Ka SANT</t>
  </si>
  <si>
    <t>CARTÃO EXTRA SOCORRO</t>
  </si>
  <si>
    <t xml:space="preserve">strada ranch </t>
  </si>
  <si>
    <t>total de tudo : 56.311,35</t>
  </si>
  <si>
    <t>STRADA RANCH</t>
  </si>
  <si>
    <t>6/19</t>
  </si>
  <si>
    <t>11/48</t>
  </si>
  <si>
    <t>05/15</t>
  </si>
  <si>
    <t>37/48</t>
  </si>
  <si>
    <t>17/36</t>
  </si>
  <si>
    <t>14/27</t>
  </si>
  <si>
    <t>27/41</t>
  </si>
  <si>
    <t>12/24</t>
  </si>
  <si>
    <t>CARTÃO KAIQUE</t>
  </si>
  <si>
    <t>GASTOS NA LOJA MAIO 2026</t>
  </si>
  <si>
    <t>CASA E LOJA MAIO  2026</t>
  </si>
  <si>
    <t>CARTÕES MAIO 2026</t>
  </si>
  <si>
    <t>CONTAS LOJA MAIO 2026</t>
  </si>
  <si>
    <t>CONTABILIDADE MAIO 2026 MCAR LTDA</t>
  </si>
  <si>
    <t>CONTABILIDADE MAIO  2026 KM LTDA</t>
  </si>
  <si>
    <t>PARCELA DA CASA 02/08</t>
  </si>
  <si>
    <t>INSS</t>
  </si>
  <si>
    <t>CONTAS LOJA JUNHO 2026</t>
  </si>
  <si>
    <t>12/48</t>
  </si>
  <si>
    <t>06/15</t>
  </si>
  <si>
    <t>38/48</t>
  </si>
  <si>
    <t>18/36</t>
  </si>
  <si>
    <t>15/27</t>
  </si>
  <si>
    <t>28/41</t>
  </si>
  <si>
    <t>13/24</t>
  </si>
  <si>
    <t>CARTÕES JUNHO 2026</t>
  </si>
  <si>
    <t>07/17</t>
  </si>
  <si>
    <t xml:space="preserve"> </t>
  </si>
  <si>
    <t>ECOSPORT SANT PRETA</t>
  </si>
  <si>
    <t>01/14</t>
  </si>
  <si>
    <t>BOLETO PEÇAS</t>
  </si>
  <si>
    <t>PARCELA DA CASA 03/08</t>
  </si>
  <si>
    <t>CONTAS LOJA JULHO 2026</t>
  </si>
  <si>
    <t>41/48</t>
  </si>
  <si>
    <t>08/17</t>
  </si>
  <si>
    <t>07/15</t>
  </si>
  <si>
    <t>19/36</t>
  </si>
  <si>
    <t>16/27</t>
  </si>
  <si>
    <t>02/14</t>
  </si>
  <si>
    <t>29/41</t>
  </si>
  <si>
    <t>1</t>
  </si>
  <si>
    <t>CARTÕES JULHO 2026</t>
  </si>
  <si>
    <t>CASA E LOJA JULHO  2026</t>
  </si>
  <si>
    <t>GASTOS NA LOJA JULHO 2026</t>
  </si>
  <si>
    <t>CONTABILIDADE JULHO 2026 MCAR LTDA</t>
  </si>
  <si>
    <t>CONTABILIDADE JULHO  2026 KM LTDA</t>
  </si>
  <si>
    <t>13/39</t>
  </si>
  <si>
    <t>TIM VO</t>
  </si>
  <si>
    <t xml:space="preserve">COVEM </t>
  </si>
  <si>
    <t>MARCOS PEÇA 2/4</t>
  </si>
  <si>
    <t>IPVA HILUX FALCAO 1/2</t>
  </si>
  <si>
    <t>LEMBRA O DO SALES 7 PARCELAS 1.481,32 E IPVA 331,67</t>
  </si>
  <si>
    <t xml:space="preserve">PIS </t>
  </si>
  <si>
    <t>COFINS</t>
  </si>
  <si>
    <t>GABRIEL</t>
  </si>
  <si>
    <t>LUCRO PRESUMIDO</t>
  </si>
  <si>
    <t>09/17</t>
  </si>
  <si>
    <t>14/39</t>
  </si>
  <si>
    <t>20/36</t>
  </si>
  <si>
    <t>17/27</t>
  </si>
  <si>
    <t>03/14</t>
  </si>
  <si>
    <t>30/41</t>
  </si>
  <si>
    <t xml:space="preserve">IPVA HILUX FALCAO </t>
  </si>
  <si>
    <t>MARCOS PEÇA 3/4</t>
  </si>
  <si>
    <t>CONTABILIDADE AGOSTO  2026 KM LTDA</t>
  </si>
  <si>
    <t>GASTOS NA LOJA AGOSTO 2026</t>
  </si>
  <si>
    <t>CASA E LOJA AGOSTO  2026</t>
  </si>
  <si>
    <t>CARTÕES AGOSTO 2026</t>
  </si>
  <si>
    <t>CONTAS LOJA AGOSTO 2026</t>
  </si>
  <si>
    <t xml:space="preserve">     CONTABILIDADE AGOSTO 2026 MCAR LTDA</t>
  </si>
  <si>
    <t>SALES PARCELA  01/07</t>
  </si>
  <si>
    <t>PARCELA 1</t>
  </si>
  <si>
    <t>AGUA KAIQUE</t>
  </si>
  <si>
    <t>CONTAS LOJA SETEMBRO 2026</t>
  </si>
  <si>
    <t>CARTÕES SETEMBRO 2026</t>
  </si>
  <si>
    <t>CASA E LOJA SETEMBRO  2026</t>
  </si>
  <si>
    <t>GASTOS NA LOJA SETEMBRO 2026</t>
  </si>
  <si>
    <t xml:space="preserve">     CONTABILIDADE SETEMBRO 2026 MCAR LTDA</t>
  </si>
  <si>
    <t>CONTABILIDADE SETEMBRO  2026 KM LTDA</t>
  </si>
  <si>
    <t>10/17</t>
  </si>
  <si>
    <t>15/39</t>
  </si>
  <si>
    <t>21/36</t>
  </si>
  <si>
    <t>18/27</t>
  </si>
  <si>
    <t>04/14</t>
  </si>
  <si>
    <t>31/41</t>
  </si>
  <si>
    <t>PARCELA 2</t>
  </si>
  <si>
    <t>PARCELA DA CASA 04/08</t>
  </si>
  <si>
    <t>PARCELA DA CASA 05/08</t>
  </si>
  <si>
    <t>PARCELA DA CASA 01/08</t>
  </si>
  <si>
    <t>MARCOS PEÇA 4/4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</si>
</sst>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  <font>
      <b/>
      <sz val="12"/>
      <color rgb="FFFF0000"/>
      <name val="Arial"/>
      <family val="2"/>
    </font>
    <font>
      <sz val="9"/>
      <color rgb="FFFF0000"/>
      <name val="Arial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5">
    <xf numFmtId="0" fontId="0" fillId="0" borderId="0" xfId="0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1" xfId="0" applyBorder="1"/>
    <xf numFmtId="0" fontId="4" fillId="0" borderId="1" xfId="0" applyFont="1" applyBorder="1"/>
    <xf numFmtId="14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4" fontId="3" fillId="0" borderId="1" xfId="1" applyFont="1" applyBorder="1" applyAlignment="1">
      <alignment horizontal="left"/>
    </xf>
    <xf numFmtId="164" fontId="5" fillId="0" borderId="1" xfId="0" applyNumberFormat="1" applyFont="1" applyBorder="1"/>
    <xf numFmtId="164" fontId="6" fillId="0" borderId="1" xfId="0" applyNumberFormat="1" applyFont="1" applyBorder="1" applyAlignment="1">
      <alignment horizontal="center"/>
    </xf>
    <xf numFmtId="164" fontId="4" fillId="0" borderId="1" xfId="2" applyNumberFormat="1" applyFont="1" applyBorder="1" applyAlignment="1">
      <alignment horizontal="center"/>
    </xf>
    <xf numFmtId="0" fontId="4" fillId="0" borderId="1" xfId="0" applyFont="1" applyFill="1" applyBorder="1"/>
    <xf numFmtId="164" fontId="4" fillId="0" borderId="1" xfId="0" applyNumberFormat="1" applyFont="1" applyBorder="1"/>
    <xf numFmtId="0" fontId="4" fillId="0" borderId="3" xfId="0" applyFont="1" applyBorder="1"/>
    <xf numFmtId="14" fontId="4" fillId="0" borderId="3" xfId="0" applyNumberFormat="1" applyFont="1" applyBorder="1" applyAlignment="1">
      <alignment horizontal="center"/>
    </xf>
    <xf numFmtId="44" fontId="4" fillId="0" borderId="3" xfId="1" applyFont="1" applyBorder="1" applyAlignment="1">
      <alignment horizontal="center"/>
    </xf>
    <xf numFmtId="0" fontId="0" fillId="0" borderId="3" xfId="0" applyBorder="1"/>
    <xf numFmtId="44" fontId="4" fillId="0" borderId="1" xfId="1" applyFont="1" applyBorder="1" applyAlignment="1">
      <alignment horizontal="center"/>
    </xf>
    <xf numFmtId="14" fontId="7" fillId="0" borderId="3" xfId="0" applyNumberFormat="1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4" fontId="9" fillId="0" borderId="1" xfId="1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9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4" fontId="2" fillId="0" borderId="1" xfId="0" applyNumberFormat="1" applyFont="1" applyBorder="1"/>
    <xf numFmtId="0" fontId="3" fillId="2" borderId="4" xfId="0" applyFont="1" applyFill="1" applyBorder="1" applyAlignment="1">
      <alignment horizontal="center"/>
    </xf>
    <xf numFmtId="44" fontId="4" fillId="3" borderId="4" xfId="2" applyFont="1" applyFill="1" applyBorder="1" applyAlignment="1">
      <alignment horizontal="left"/>
    </xf>
    <xf numFmtId="44" fontId="5" fillId="3" borderId="4" xfId="2" applyFont="1" applyFill="1" applyBorder="1" applyAlignment="1">
      <alignment horizontal="left"/>
    </xf>
    <xf numFmtId="0" fontId="0" fillId="0" borderId="4" xfId="0" applyBorder="1"/>
    <xf numFmtId="44" fontId="2" fillId="0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44" fontId="0" fillId="0" borderId="0" xfId="0" applyNumberFormat="1"/>
    <xf numFmtId="0" fontId="3" fillId="0" borderId="1" xfId="0" applyFont="1" applyBorder="1" applyAlignment="1">
      <alignment horizontal="center"/>
    </xf>
    <xf numFmtId="0" fontId="4" fillId="0" borderId="7" xfId="0" applyFont="1" applyFill="1" applyBorder="1"/>
    <xf numFmtId="0" fontId="5" fillId="0" borderId="3" xfId="0" applyFont="1" applyBorder="1"/>
    <xf numFmtId="0" fontId="5" fillId="0" borderId="0" xfId="0" applyFont="1"/>
    <xf numFmtId="0" fontId="3" fillId="4" borderId="1" xfId="0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44" fontId="0" fillId="0" borderId="1" xfId="1" applyFont="1" applyBorder="1"/>
    <xf numFmtId="0" fontId="0" fillId="0" borderId="0" xfId="0" applyBorder="1"/>
    <xf numFmtId="44" fontId="0" fillId="0" borderId="1" xfId="0" applyNumberFormat="1" applyBorder="1"/>
    <xf numFmtId="0" fontId="4" fillId="0" borderId="0" xfId="0" applyFont="1" applyFill="1" applyBorder="1"/>
    <xf numFmtId="44" fontId="0" fillId="0" borderId="0" xfId="0" applyNumberFormat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17" fontId="0" fillId="0" borderId="1" xfId="0" applyNumberFormat="1" applyBorder="1" applyAlignment="1">
      <alignment horizontal="center"/>
    </xf>
    <xf numFmtId="0" fontId="3" fillId="0" borderId="0" xfId="0" applyFont="1" applyBorder="1" applyAlignment="1">
      <alignment horizontal="center"/>
    </xf>
    <xf numFmtId="14" fontId="4" fillId="0" borderId="0" xfId="0" applyNumberFormat="1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44" fontId="3" fillId="0" borderId="0" xfId="1" applyFont="1" applyBorder="1" applyAlignment="1">
      <alignment horizontal="left"/>
    </xf>
    <xf numFmtId="44" fontId="4" fillId="3" borderId="1" xfId="2" applyFont="1" applyFill="1" applyBorder="1" applyAlignment="1">
      <alignment horizontal="left"/>
    </xf>
    <xf numFmtId="44" fontId="0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0" fillId="0" borderId="1" xfId="0" applyNumberFormat="1" applyBorder="1"/>
    <xf numFmtId="44" fontId="4" fillId="0" borderId="1" xfId="1" applyNumberFormat="1" applyFont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0" fillId="0" borderId="6" xfId="0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44" fontId="4" fillId="0" borderId="1" xfId="0" applyNumberFormat="1" applyFont="1" applyBorder="1" applyAlignment="1">
      <alignment horizontal="center"/>
    </xf>
    <xf numFmtId="44" fontId="0" fillId="0" borderId="1" xfId="1" applyNumberFormat="1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0" fillId="0" borderId="1" xfId="0" applyNumberFormat="1" applyBorder="1"/>
    <xf numFmtId="0" fontId="8" fillId="0" borderId="0" xfId="0" applyFont="1" applyFill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0" fillId="0" borderId="0" xfId="0" applyNumberFormat="1" applyBorder="1"/>
    <xf numFmtId="16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44" fontId="0" fillId="0" borderId="0" xfId="1" applyFont="1" applyBorder="1"/>
    <xf numFmtId="14" fontId="0" fillId="0" borderId="0" xfId="0" applyNumberFormat="1" applyBorder="1"/>
    <xf numFmtId="0" fontId="3" fillId="2" borderId="8" xfId="0" applyFont="1" applyFill="1" applyBorder="1" applyAlignment="1">
      <alignment horizontal="center"/>
    </xf>
    <xf numFmtId="0" fontId="3" fillId="0" borderId="0" xfId="0" applyFont="1" applyFill="1" applyBorder="1"/>
    <xf numFmtId="16" fontId="0" fillId="0" borderId="0" xfId="0" applyNumberFormat="1" applyBorder="1" applyAlignment="1">
      <alignment horizontal="center"/>
    </xf>
    <xf numFmtId="164" fontId="5" fillId="0" borderId="3" xfId="0" applyNumberFormat="1" applyFont="1" applyBorder="1"/>
    <xf numFmtId="1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3">
    <cellStyle name="Moeda" xfId="1" builtinId="4"/>
    <cellStyle name="Moed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zoomScaleNormal="100" workbookViewId="0">
      <selection activeCell="F36" sqref="F36"/>
    </sheetView>
  </sheetViews>
  <sheetFormatPr defaultRowHeight="15" x14ac:dyDescent="0.25"/>
  <cols>
    <col min="1" max="1" width="23.42578125" customWidth="1"/>
    <col min="2" max="2" width="16.85546875" customWidth="1"/>
    <col min="3" max="3" width="14.28515625" customWidth="1"/>
    <col min="4" max="4" width="18.28515625" customWidth="1"/>
    <col min="5" max="5" width="10.85546875" customWidth="1"/>
    <col min="6" max="6" width="24.5703125" customWidth="1"/>
    <col min="7" max="7" width="15.140625" customWidth="1"/>
    <col min="8" max="8" width="15.28515625" customWidth="1"/>
    <col min="9" max="9" width="16.42578125" customWidth="1"/>
  </cols>
  <sheetData>
    <row r="1" spans="1:9" x14ac:dyDescent="0.25">
      <c r="A1" s="89" t="s">
        <v>65</v>
      </c>
      <c r="B1" s="90"/>
      <c r="C1" s="90"/>
      <c r="D1" s="25"/>
      <c r="E1" s="1"/>
      <c r="F1" s="91" t="s">
        <v>66</v>
      </c>
      <c r="G1" s="91"/>
      <c r="H1" s="91"/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31" t="s">
        <v>6</v>
      </c>
      <c r="F2" s="3" t="s">
        <v>4</v>
      </c>
      <c r="G2" s="3" t="s">
        <v>5</v>
      </c>
      <c r="H2" s="3" t="s">
        <v>3</v>
      </c>
      <c r="I2" s="3" t="s">
        <v>6</v>
      </c>
    </row>
    <row r="3" spans="1:9" x14ac:dyDescent="0.25">
      <c r="A3" s="5" t="s">
        <v>7</v>
      </c>
      <c r="B3" s="6">
        <v>45901</v>
      </c>
      <c r="C3" s="7" t="s">
        <v>72</v>
      </c>
      <c r="D3" s="8">
        <v>1481.32</v>
      </c>
      <c r="E3" s="32"/>
      <c r="F3" s="5" t="s">
        <v>9</v>
      </c>
      <c r="G3" s="6">
        <f>DATE(2026,1,DAY(B3))</f>
        <v>46023</v>
      </c>
      <c r="H3" s="9">
        <v>185.26</v>
      </c>
      <c r="I3" s="4"/>
    </row>
    <row r="4" spans="1:9" x14ac:dyDescent="0.25">
      <c r="A4" s="5" t="s">
        <v>53</v>
      </c>
      <c r="B4" s="6">
        <v>46026</v>
      </c>
      <c r="C4" s="7" t="s">
        <v>54</v>
      </c>
      <c r="D4" s="8">
        <v>2439.35</v>
      </c>
      <c r="E4" s="32"/>
      <c r="F4" s="5" t="s">
        <v>10</v>
      </c>
      <c r="G4" s="6">
        <f>DATE(2026,1,10)</f>
        <v>46032</v>
      </c>
      <c r="H4" s="9">
        <v>193.46</v>
      </c>
      <c r="I4" s="4"/>
    </row>
    <row r="5" spans="1:9" x14ac:dyDescent="0.25">
      <c r="A5" s="5" t="s">
        <v>11</v>
      </c>
      <c r="B5" s="6">
        <f>DATE(2026,1,2)</f>
        <v>46024</v>
      </c>
      <c r="C5" s="7"/>
      <c r="D5" s="8">
        <v>2384</v>
      </c>
      <c r="E5" s="32"/>
      <c r="F5" s="5" t="s">
        <v>67</v>
      </c>
      <c r="G5" s="6">
        <f>DATE(2026,1,10)</f>
        <v>46032</v>
      </c>
      <c r="H5" s="10">
        <v>214.1</v>
      </c>
      <c r="I5" s="4"/>
    </row>
    <row r="6" spans="1:9" x14ac:dyDescent="0.25">
      <c r="A6" s="5" t="s">
        <v>12</v>
      </c>
      <c r="B6" s="6">
        <f>DATE(2026,1,3)</f>
        <v>46025</v>
      </c>
      <c r="C6" s="7"/>
      <c r="D6" s="8">
        <v>1457</v>
      </c>
      <c r="E6" s="32"/>
      <c r="F6" s="5" t="s">
        <v>13</v>
      </c>
      <c r="G6" s="6">
        <f>DATE(2026,1,10)</f>
        <v>46032</v>
      </c>
      <c r="H6" s="11">
        <v>202.65</v>
      </c>
      <c r="I6" s="4"/>
    </row>
    <row r="7" spans="1:9" x14ac:dyDescent="0.25">
      <c r="A7" s="5" t="s">
        <v>14</v>
      </c>
      <c r="B7" s="6">
        <f>DATE(2026,1,3)</f>
        <v>46025</v>
      </c>
      <c r="C7" s="7"/>
      <c r="D7" s="8">
        <v>872</v>
      </c>
      <c r="E7" s="32"/>
      <c r="F7" s="5" t="s">
        <v>15</v>
      </c>
      <c r="G7" s="6">
        <f>DATE(2026,1,10)</f>
        <v>46032</v>
      </c>
      <c r="H7" s="11">
        <v>119.36</v>
      </c>
      <c r="I7" s="4"/>
    </row>
    <row r="8" spans="1:9" x14ac:dyDescent="0.25">
      <c r="A8" s="5" t="s">
        <v>16</v>
      </c>
      <c r="B8" s="6">
        <f>DATE(2026,1,7)</f>
        <v>46029</v>
      </c>
      <c r="C8" s="7"/>
      <c r="D8" s="8"/>
      <c r="E8" s="32"/>
      <c r="F8" s="5"/>
      <c r="G8" s="6"/>
      <c r="H8" s="11"/>
      <c r="I8" s="4"/>
    </row>
    <row r="9" spans="1:9" x14ac:dyDescent="0.25">
      <c r="A9" s="5" t="s">
        <v>17</v>
      </c>
      <c r="B9" s="6">
        <f>DATE(2026,1,3)</f>
        <v>46025</v>
      </c>
      <c r="C9" s="7"/>
      <c r="D9" s="8">
        <v>239</v>
      </c>
      <c r="E9" s="32"/>
      <c r="F9" s="12" t="s">
        <v>18</v>
      </c>
      <c r="G9" s="6">
        <f>DATE(2026,1,28)</f>
        <v>46050</v>
      </c>
      <c r="H9" s="13">
        <v>79.900000000000006</v>
      </c>
      <c r="I9" s="4"/>
    </row>
    <row r="10" spans="1:9" x14ac:dyDescent="0.25">
      <c r="A10" s="5" t="s">
        <v>19</v>
      </c>
      <c r="B10" s="6">
        <f>DATE(2026,1,6)</f>
        <v>46028</v>
      </c>
      <c r="C10" s="7" t="s">
        <v>55</v>
      </c>
      <c r="D10" s="8">
        <v>3313.25</v>
      </c>
      <c r="E10" s="32"/>
      <c r="F10" s="14" t="s">
        <v>20</v>
      </c>
      <c r="G10" s="15">
        <f>DATE(2026,1,10)</f>
        <v>46032</v>
      </c>
      <c r="H10" s="16">
        <v>400</v>
      </c>
      <c r="I10" s="17"/>
    </row>
    <row r="11" spans="1:9" x14ac:dyDescent="0.25">
      <c r="A11" s="5" t="s">
        <v>57</v>
      </c>
      <c r="B11" s="6">
        <v>46035</v>
      </c>
      <c r="C11" s="7" t="s">
        <v>73</v>
      </c>
      <c r="D11" s="8">
        <v>724.02</v>
      </c>
      <c r="E11" s="32"/>
      <c r="F11" s="5" t="s">
        <v>21</v>
      </c>
      <c r="G11" s="6">
        <v>46037</v>
      </c>
      <c r="H11" s="9">
        <v>110</v>
      </c>
      <c r="I11" s="4"/>
    </row>
    <row r="12" spans="1:9" x14ac:dyDescent="0.25">
      <c r="A12" s="5" t="s">
        <v>22</v>
      </c>
      <c r="B12" s="6">
        <f>DATE(2026,1,8)</f>
        <v>46030</v>
      </c>
      <c r="C12" s="7"/>
      <c r="D12" s="8">
        <v>3700</v>
      </c>
      <c r="E12" s="33"/>
      <c r="F12" s="5" t="s">
        <v>23</v>
      </c>
      <c r="G12" s="6">
        <v>46043</v>
      </c>
      <c r="H12" s="13">
        <v>180</v>
      </c>
      <c r="I12" s="4"/>
    </row>
    <row r="13" spans="1:9" x14ac:dyDescent="0.25">
      <c r="A13" s="5" t="s">
        <v>24</v>
      </c>
      <c r="B13" s="6">
        <f>DATE(2026,1,9)</f>
        <v>46031</v>
      </c>
      <c r="C13" s="7"/>
      <c r="D13" s="8">
        <v>2636.76</v>
      </c>
      <c r="E13" s="32"/>
      <c r="F13" s="5" t="s">
        <v>25</v>
      </c>
      <c r="G13" s="6">
        <v>46051</v>
      </c>
      <c r="H13" s="18">
        <v>1729.31</v>
      </c>
      <c r="I13" s="4"/>
    </row>
    <row r="14" spans="1:9" ht="15.75" x14ac:dyDescent="0.25">
      <c r="A14" s="5" t="s">
        <v>26</v>
      </c>
      <c r="B14" s="6">
        <f>DATE(2026,1,9)</f>
        <v>46031</v>
      </c>
      <c r="C14" s="7"/>
      <c r="D14" s="8">
        <v>1674</v>
      </c>
      <c r="E14" s="34"/>
      <c r="F14" s="14"/>
      <c r="G14" s="19"/>
      <c r="H14" s="20"/>
      <c r="I14" s="17"/>
    </row>
    <row r="15" spans="1:9" x14ac:dyDescent="0.25">
      <c r="A15" s="5" t="s">
        <v>56</v>
      </c>
      <c r="B15" s="6">
        <f>DATE(2026,1,10)</f>
        <v>46032</v>
      </c>
      <c r="C15" s="7"/>
      <c r="D15" s="8">
        <v>440</v>
      </c>
      <c r="E15" s="32"/>
      <c r="F15" s="14"/>
      <c r="G15" s="15"/>
      <c r="H15" s="38">
        <f>SUM(H3:H14)</f>
        <v>3414.04</v>
      </c>
      <c r="I15" s="17"/>
    </row>
    <row r="16" spans="1:9" x14ac:dyDescent="0.25">
      <c r="A16" s="5" t="s">
        <v>27</v>
      </c>
      <c r="B16" s="6">
        <f>DATE(2026,1,10)</f>
        <v>46032</v>
      </c>
      <c r="C16" s="7"/>
      <c r="D16" s="8">
        <v>144.4</v>
      </c>
      <c r="E16" s="32"/>
      <c r="F16" s="22" t="s">
        <v>28</v>
      </c>
      <c r="G16" s="22" t="s">
        <v>29</v>
      </c>
      <c r="H16" s="22" t="s">
        <v>30</v>
      </c>
      <c r="I16" s="23"/>
    </row>
    <row r="17" spans="1:9" x14ac:dyDescent="0.25">
      <c r="A17" s="5" t="s">
        <v>31</v>
      </c>
      <c r="B17" s="6">
        <f>DATE(2026,1,10)</f>
        <v>46032</v>
      </c>
      <c r="C17" s="7"/>
      <c r="D17" s="24">
        <v>242.5</v>
      </c>
      <c r="E17" s="32"/>
      <c r="F17" s="25" t="s">
        <v>32</v>
      </c>
      <c r="H17" s="26"/>
      <c r="I17" s="26" t="s">
        <v>33</v>
      </c>
    </row>
    <row r="18" spans="1:9" x14ac:dyDescent="0.25">
      <c r="A18" s="5" t="s">
        <v>34</v>
      </c>
      <c r="B18" s="6">
        <f>DATE(2026,1,13)</f>
        <v>46035</v>
      </c>
      <c r="C18" s="7"/>
      <c r="D18" s="24">
        <v>2343.65</v>
      </c>
      <c r="E18" s="32"/>
      <c r="F18" s="25" t="s">
        <v>68</v>
      </c>
      <c r="G18" s="26"/>
      <c r="H18" s="26"/>
      <c r="I18" s="4"/>
    </row>
    <row r="19" spans="1:9" x14ac:dyDescent="0.25">
      <c r="A19" s="5" t="s">
        <v>35</v>
      </c>
      <c r="B19" s="6">
        <f>DATE(2026,1,14)</f>
        <v>46036</v>
      </c>
      <c r="C19" s="7"/>
      <c r="D19" s="24"/>
      <c r="E19" s="32"/>
      <c r="F19" s="25" t="s">
        <v>36</v>
      </c>
      <c r="G19" s="26"/>
      <c r="H19" s="26"/>
      <c r="I19" s="4"/>
    </row>
    <row r="20" spans="1:9" x14ac:dyDescent="0.25">
      <c r="A20" s="5" t="s">
        <v>37</v>
      </c>
      <c r="B20" s="6">
        <f>DATE(2026,1,14)</f>
        <v>46036</v>
      </c>
      <c r="C20" s="7"/>
      <c r="D20" s="8">
        <v>5278.58</v>
      </c>
      <c r="E20" s="32"/>
      <c r="F20" s="25" t="s">
        <v>38</v>
      </c>
      <c r="G20" s="26"/>
      <c r="H20" s="26"/>
      <c r="I20" s="4"/>
    </row>
    <row r="21" spans="1:9" x14ac:dyDescent="0.25">
      <c r="A21" s="12" t="s">
        <v>39</v>
      </c>
      <c r="B21" s="6">
        <f>DATE(2026,1,10)</f>
        <v>46032</v>
      </c>
      <c r="C21" s="7"/>
      <c r="D21" s="8">
        <v>147.16999999999999</v>
      </c>
      <c r="E21" s="32"/>
      <c r="F21" s="25" t="s">
        <v>69</v>
      </c>
      <c r="G21" s="6"/>
      <c r="H21" s="7"/>
      <c r="I21" s="8"/>
    </row>
    <row r="22" spans="1:9" x14ac:dyDescent="0.25">
      <c r="A22" s="12" t="s">
        <v>41</v>
      </c>
      <c r="B22" s="6">
        <f>DATE(2026,1,15)</f>
        <v>46037</v>
      </c>
      <c r="C22" s="7"/>
      <c r="D22" s="8">
        <v>525.9</v>
      </c>
      <c r="E22" s="32"/>
      <c r="F22" s="5" t="s">
        <v>42</v>
      </c>
      <c r="G22" s="6">
        <v>46042</v>
      </c>
      <c r="H22" s="7"/>
      <c r="I22" s="24">
        <v>829.63</v>
      </c>
    </row>
    <row r="23" spans="1:9" x14ac:dyDescent="0.25">
      <c r="A23" s="5" t="s">
        <v>43</v>
      </c>
      <c r="B23" s="6">
        <f>DATE(2026,1,17)</f>
        <v>46039</v>
      </c>
      <c r="C23" s="7"/>
      <c r="D23" s="8">
        <v>514</v>
      </c>
      <c r="E23" s="32"/>
      <c r="F23" s="5" t="s">
        <v>44</v>
      </c>
      <c r="G23" s="6">
        <v>46043</v>
      </c>
      <c r="H23" s="7"/>
      <c r="I23" s="24">
        <v>3377.64</v>
      </c>
    </row>
    <row r="24" spans="1:9" x14ac:dyDescent="0.25">
      <c r="A24" s="5" t="s">
        <v>45</v>
      </c>
      <c r="B24" s="6">
        <f>DATE(2026,1,17)</f>
        <v>46039</v>
      </c>
      <c r="C24" s="7"/>
      <c r="D24" s="8">
        <v>315</v>
      </c>
      <c r="E24" s="34"/>
      <c r="F24" s="5" t="s">
        <v>46</v>
      </c>
      <c r="G24" s="6">
        <v>46044</v>
      </c>
      <c r="H24" s="7" t="s">
        <v>47</v>
      </c>
      <c r="I24" s="24">
        <v>1300</v>
      </c>
    </row>
    <row r="25" spans="1:9" x14ac:dyDescent="0.25">
      <c r="A25" s="5" t="s">
        <v>48</v>
      </c>
      <c r="B25" s="6">
        <f>DATE(2026,1,19)</f>
        <v>46041</v>
      </c>
      <c r="C25" s="7" t="s">
        <v>76</v>
      </c>
      <c r="D25" s="8">
        <v>1100.2</v>
      </c>
      <c r="E25" s="32"/>
      <c r="F25" s="5" t="s">
        <v>49</v>
      </c>
      <c r="G25" s="6">
        <v>46045</v>
      </c>
      <c r="H25" s="7"/>
      <c r="I25" s="24">
        <v>522</v>
      </c>
    </row>
    <row r="26" spans="1:9" x14ac:dyDescent="0.25">
      <c r="A26" s="5" t="s">
        <v>50</v>
      </c>
      <c r="B26" s="6">
        <f>DATE(2026,1,20)</f>
        <v>46042</v>
      </c>
      <c r="C26" s="7"/>
      <c r="D26" s="8">
        <v>3417.61</v>
      </c>
      <c r="E26" s="32"/>
      <c r="F26" s="5" t="s">
        <v>51</v>
      </c>
      <c r="G26" s="6">
        <v>46047</v>
      </c>
      <c r="H26" s="7"/>
      <c r="I26" s="8">
        <v>4664</v>
      </c>
    </row>
    <row r="27" spans="1:9" x14ac:dyDescent="0.25">
      <c r="A27" s="5" t="s">
        <v>52</v>
      </c>
      <c r="B27" s="6">
        <f>DATE(2026,1,20)</f>
        <v>46042</v>
      </c>
      <c r="C27" s="7"/>
      <c r="D27" s="8"/>
      <c r="E27" s="32"/>
      <c r="F27" s="4" t="s">
        <v>40</v>
      </c>
      <c r="G27" s="28">
        <v>46047</v>
      </c>
      <c r="H27" s="27"/>
      <c r="I27" s="4">
        <v>540.97</v>
      </c>
    </row>
    <row r="28" spans="1:9" x14ac:dyDescent="0.25">
      <c r="A28" s="12" t="s">
        <v>58</v>
      </c>
      <c r="B28" s="28">
        <v>46044</v>
      </c>
      <c r="C28" s="29" t="s">
        <v>59</v>
      </c>
      <c r="D28" s="30">
        <v>1966</v>
      </c>
      <c r="F28" s="5"/>
      <c r="G28" s="6"/>
      <c r="H28" s="7"/>
      <c r="I28" s="8"/>
    </row>
    <row r="29" spans="1:9" x14ac:dyDescent="0.25">
      <c r="A29" s="12" t="s">
        <v>60</v>
      </c>
      <c r="B29" s="4"/>
      <c r="C29" s="27" t="s">
        <v>61</v>
      </c>
      <c r="D29" s="30">
        <v>353</v>
      </c>
      <c r="I29" s="39">
        <f>SUM(I21:I28)</f>
        <v>11234.24</v>
      </c>
    </row>
    <row r="30" spans="1:9" x14ac:dyDescent="0.25">
      <c r="A30" s="12" t="s">
        <v>62</v>
      </c>
      <c r="B30" s="28">
        <v>46028</v>
      </c>
      <c r="C30" s="27" t="s">
        <v>63</v>
      </c>
      <c r="D30" s="35">
        <v>820</v>
      </c>
    </row>
    <row r="31" spans="1:9" x14ac:dyDescent="0.25">
      <c r="A31" s="12" t="s">
        <v>64</v>
      </c>
      <c r="B31" s="4"/>
      <c r="C31" s="4"/>
      <c r="D31" s="35">
        <v>500</v>
      </c>
    </row>
    <row r="1048576" spans="4:4" x14ac:dyDescent="0.25">
      <c r="D1048576">
        <f>SUM(D1:D1048575)</f>
        <v>39028.710000000006</v>
      </c>
    </row>
  </sheetData>
  <mergeCells count="2">
    <mergeCell ref="A1:C1"/>
    <mergeCell ref="F1:H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H31" sqref="H31"/>
    </sheetView>
  </sheetViews>
  <sheetFormatPr defaultRowHeight="15" x14ac:dyDescent="0.25"/>
  <cols>
    <col min="1" max="1" width="24.7109375" customWidth="1"/>
    <col min="2" max="2" width="13" customWidth="1"/>
    <col min="3" max="3" width="11.7109375" customWidth="1"/>
    <col min="4" max="4" width="14" customWidth="1"/>
    <col min="5" max="5" width="12.5703125" customWidth="1"/>
    <col min="6" max="6" width="20.7109375" customWidth="1"/>
    <col min="7" max="7" width="14.85546875" customWidth="1"/>
    <col min="8" max="8" width="12" customWidth="1"/>
    <col min="9" max="9" width="10.85546875" customWidth="1"/>
  </cols>
  <sheetData>
    <row r="1" spans="1:9" x14ac:dyDescent="0.25">
      <c r="A1" s="89" t="s">
        <v>70</v>
      </c>
      <c r="B1" s="90"/>
      <c r="C1" s="90"/>
      <c r="D1" s="25"/>
      <c r="E1" s="1"/>
      <c r="F1" s="91" t="s">
        <v>71</v>
      </c>
      <c r="G1" s="91"/>
      <c r="H1" s="91"/>
    </row>
    <row r="2" spans="1:9" x14ac:dyDescent="0.25">
      <c r="A2" s="2" t="s">
        <v>0</v>
      </c>
      <c r="B2" s="2" t="s">
        <v>1</v>
      </c>
      <c r="C2" s="2" t="s">
        <v>2</v>
      </c>
      <c r="D2" s="2" t="s">
        <v>3</v>
      </c>
      <c r="E2" s="31" t="s">
        <v>6</v>
      </c>
      <c r="F2" s="3" t="s">
        <v>4</v>
      </c>
      <c r="G2" s="3" t="s">
        <v>5</v>
      </c>
      <c r="H2" s="3" t="s">
        <v>3</v>
      </c>
      <c r="I2" s="3" t="s">
        <v>6</v>
      </c>
    </row>
    <row r="3" spans="1:9" x14ac:dyDescent="0.25">
      <c r="A3" s="5" t="s">
        <v>7</v>
      </c>
      <c r="B3" s="6">
        <v>46054</v>
      </c>
      <c r="C3" s="7" t="s">
        <v>8</v>
      </c>
      <c r="D3" s="8">
        <v>1481.32</v>
      </c>
      <c r="E3" s="32"/>
      <c r="F3" s="5" t="s">
        <v>9</v>
      </c>
      <c r="G3" s="6">
        <v>46054</v>
      </c>
      <c r="H3" s="9">
        <v>158.43</v>
      </c>
      <c r="I3" s="4"/>
    </row>
    <row r="4" spans="1:9" x14ac:dyDescent="0.25">
      <c r="A4" s="5" t="s">
        <v>53</v>
      </c>
      <c r="B4" s="6">
        <v>46057</v>
      </c>
      <c r="C4" s="7" t="s">
        <v>74</v>
      </c>
      <c r="D4" s="8">
        <v>2439.35</v>
      </c>
      <c r="E4" s="32"/>
      <c r="F4" s="5" t="s">
        <v>10</v>
      </c>
      <c r="G4" s="6">
        <v>46063</v>
      </c>
      <c r="H4" s="9">
        <v>107.23</v>
      </c>
      <c r="I4" s="4"/>
    </row>
    <row r="5" spans="1:9" x14ac:dyDescent="0.25">
      <c r="A5" s="5" t="s">
        <v>11</v>
      </c>
      <c r="B5" s="6">
        <v>46055</v>
      </c>
      <c r="C5" s="7"/>
      <c r="D5" s="8">
        <v>2042.63</v>
      </c>
      <c r="E5" s="32"/>
      <c r="F5" s="5" t="s">
        <v>67</v>
      </c>
      <c r="G5" s="6">
        <v>46063</v>
      </c>
      <c r="H5" s="10">
        <v>221.9</v>
      </c>
      <c r="I5" s="4"/>
    </row>
    <row r="6" spans="1:9" x14ac:dyDescent="0.25">
      <c r="A6" s="5" t="s">
        <v>12</v>
      </c>
      <c r="B6" s="6">
        <v>46056</v>
      </c>
      <c r="C6" s="7"/>
      <c r="D6" s="8">
        <v>1940.04</v>
      </c>
      <c r="E6" s="32"/>
      <c r="F6" s="5" t="s">
        <v>13</v>
      </c>
      <c r="G6" s="6">
        <v>46063</v>
      </c>
      <c r="H6" s="11">
        <v>262.3</v>
      </c>
      <c r="I6" s="4"/>
    </row>
    <row r="7" spans="1:9" x14ac:dyDescent="0.25">
      <c r="A7" s="5" t="s">
        <v>14</v>
      </c>
      <c r="B7" s="6">
        <v>46056</v>
      </c>
      <c r="C7" s="7"/>
      <c r="D7" s="8">
        <v>862</v>
      </c>
      <c r="E7" s="32"/>
      <c r="F7" s="5" t="s">
        <v>15</v>
      </c>
      <c r="G7" s="6">
        <v>46063</v>
      </c>
      <c r="H7" s="11">
        <v>0</v>
      </c>
      <c r="I7" s="4"/>
    </row>
    <row r="8" spans="1:9" x14ac:dyDescent="0.25">
      <c r="A8" s="5" t="s">
        <v>16</v>
      </c>
      <c r="B8" s="6">
        <v>46060</v>
      </c>
      <c r="C8" s="7"/>
      <c r="D8" s="8">
        <v>344</v>
      </c>
      <c r="E8" s="32"/>
      <c r="F8" s="5"/>
      <c r="G8" s="6"/>
      <c r="H8" s="11"/>
      <c r="I8" s="4"/>
    </row>
    <row r="9" spans="1:9" x14ac:dyDescent="0.25">
      <c r="A9" s="5" t="s">
        <v>19</v>
      </c>
      <c r="B9" s="6">
        <v>46059</v>
      </c>
      <c r="C9" s="7" t="s">
        <v>75</v>
      </c>
      <c r="D9" s="8">
        <v>3313.25</v>
      </c>
      <c r="E9" s="32"/>
      <c r="F9" s="12" t="s">
        <v>18</v>
      </c>
      <c r="G9" s="6">
        <v>46081</v>
      </c>
      <c r="H9" s="13">
        <v>80</v>
      </c>
      <c r="I9" s="4"/>
    </row>
    <row r="10" spans="1:9" x14ac:dyDescent="0.25">
      <c r="A10" s="5" t="s">
        <v>57</v>
      </c>
      <c r="B10" s="6">
        <v>46066</v>
      </c>
      <c r="C10" s="7" t="s">
        <v>72</v>
      </c>
      <c r="D10" s="8">
        <v>724.02</v>
      </c>
      <c r="E10" s="32"/>
      <c r="F10" s="14" t="s">
        <v>20</v>
      </c>
      <c r="G10" s="15">
        <v>46063</v>
      </c>
      <c r="H10" s="16">
        <v>472</v>
      </c>
      <c r="I10" s="17"/>
    </row>
    <row r="11" spans="1:9" x14ac:dyDescent="0.25">
      <c r="A11" s="5" t="s">
        <v>22</v>
      </c>
      <c r="B11" s="6">
        <v>46061</v>
      </c>
      <c r="C11" s="7"/>
      <c r="D11" s="8">
        <v>3700</v>
      </c>
      <c r="E11" s="33"/>
      <c r="F11" s="5" t="s">
        <v>21</v>
      </c>
      <c r="G11" s="6">
        <v>46068</v>
      </c>
      <c r="H11" s="9">
        <v>119.36</v>
      </c>
      <c r="I11" s="4"/>
    </row>
    <row r="12" spans="1:9" x14ac:dyDescent="0.25">
      <c r="A12" s="5" t="s">
        <v>24</v>
      </c>
      <c r="B12" s="6">
        <v>46062</v>
      </c>
      <c r="C12" s="7"/>
      <c r="D12" s="8">
        <v>3768</v>
      </c>
      <c r="E12" s="32"/>
      <c r="F12" s="5" t="s">
        <v>23</v>
      </c>
      <c r="G12" s="6">
        <v>46074</v>
      </c>
      <c r="H12" s="13">
        <v>180</v>
      </c>
      <c r="I12" s="4"/>
    </row>
    <row r="13" spans="1:9" x14ac:dyDescent="0.25">
      <c r="A13" s="5" t="s">
        <v>26</v>
      </c>
      <c r="B13" s="6">
        <v>46062</v>
      </c>
      <c r="C13" s="7"/>
      <c r="D13" s="8">
        <v>2721.6</v>
      </c>
      <c r="E13" s="34"/>
      <c r="F13" s="5" t="s">
        <v>25</v>
      </c>
      <c r="G13" s="6" t="s">
        <v>78</v>
      </c>
      <c r="H13" s="18">
        <v>1729.31</v>
      </c>
      <c r="I13" s="4"/>
    </row>
    <row r="14" spans="1:9" ht="15.75" x14ac:dyDescent="0.25">
      <c r="A14" s="5" t="s">
        <v>27</v>
      </c>
      <c r="B14" s="6">
        <v>46063</v>
      </c>
      <c r="C14" s="7"/>
      <c r="D14" s="8">
        <v>315.7</v>
      </c>
      <c r="E14" s="32"/>
      <c r="F14" s="14"/>
      <c r="G14" s="19"/>
      <c r="H14" s="20">
        <f>SUM(H3:H13)</f>
        <v>3330.5299999999997</v>
      </c>
      <c r="I14" s="17"/>
    </row>
    <row r="15" spans="1:9" x14ac:dyDescent="0.25">
      <c r="A15" s="5" t="s">
        <v>31</v>
      </c>
      <c r="B15" s="6">
        <v>46063</v>
      </c>
      <c r="C15" s="7"/>
      <c r="D15" s="24">
        <v>516.4</v>
      </c>
      <c r="E15" s="32"/>
      <c r="F15" s="14"/>
      <c r="G15" s="15"/>
      <c r="H15" s="21"/>
      <c r="I15" s="17"/>
    </row>
    <row r="16" spans="1:9" x14ac:dyDescent="0.25">
      <c r="A16" s="5" t="s">
        <v>34</v>
      </c>
      <c r="B16" s="6">
        <v>46066</v>
      </c>
      <c r="C16" s="7"/>
      <c r="D16" s="24">
        <v>2707.08</v>
      </c>
      <c r="E16" s="32"/>
      <c r="F16" s="22" t="s">
        <v>28</v>
      </c>
      <c r="G16" s="22" t="s">
        <v>29</v>
      </c>
      <c r="H16" s="22" t="s">
        <v>30</v>
      </c>
      <c r="I16" s="23"/>
    </row>
    <row r="17" spans="1:9" x14ac:dyDescent="0.25">
      <c r="A17" s="5" t="s">
        <v>37</v>
      </c>
      <c r="B17" s="6">
        <v>46067</v>
      </c>
      <c r="C17" s="7"/>
      <c r="D17" s="8">
        <v>2938</v>
      </c>
      <c r="E17" s="32"/>
      <c r="F17" s="25" t="s">
        <v>32</v>
      </c>
      <c r="H17" s="26"/>
      <c r="I17" s="26" t="s">
        <v>33</v>
      </c>
    </row>
    <row r="18" spans="1:9" x14ac:dyDescent="0.25">
      <c r="A18" s="12" t="s">
        <v>39</v>
      </c>
      <c r="B18" s="6">
        <v>46063</v>
      </c>
      <c r="C18" s="7"/>
      <c r="D18" s="8">
        <v>170.51</v>
      </c>
      <c r="E18" s="32"/>
      <c r="F18" s="25" t="s">
        <v>68</v>
      </c>
      <c r="G18" s="26"/>
      <c r="H18" s="26"/>
      <c r="I18" s="4"/>
    </row>
    <row r="19" spans="1:9" x14ac:dyDescent="0.25">
      <c r="A19" s="12" t="s">
        <v>41</v>
      </c>
      <c r="B19" s="6">
        <v>46068</v>
      </c>
      <c r="C19" s="7"/>
      <c r="D19" s="8">
        <v>600</v>
      </c>
      <c r="E19" s="32"/>
      <c r="F19" s="25" t="s">
        <v>36</v>
      </c>
      <c r="G19" s="26"/>
      <c r="H19" s="26"/>
      <c r="I19" s="4"/>
    </row>
    <row r="20" spans="1:9" x14ac:dyDescent="0.25">
      <c r="A20" s="5" t="s">
        <v>43</v>
      </c>
      <c r="B20" s="6">
        <v>46070</v>
      </c>
      <c r="C20" s="7"/>
      <c r="D20" s="8">
        <v>514.95000000000005</v>
      </c>
      <c r="E20" s="32"/>
      <c r="F20" s="25" t="s">
        <v>38</v>
      </c>
      <c r="G20" s="26"/>
      <c r="H20" s="26"/>
      <c r="I20" s="4"/>
    </row>
    <row r="21" spans="1:9" x14ac:dyDescent="0.25">
      <c r="A21" s="5" t="s">
        <v>45</v>
      </c>
      <c r="B21" s="6">
        <v>46070</v>
      </c>
      <c r="C21" s="7"/>
      <c r="D21" s="8">
        <v>389.04</v>
      </c>
      <c r="E21" s="34"/>
      <c r="F21" s="40" t="s">
        <v>69</v>
      </c>
      <c r="G21" s="6"/>
      <c r="H21" s="7"/>
      <c r="I21" s="8"/>
    </row>
    <row r="22" spans="1:9" x14ac:dyDescent="0.25">
      <c r="A22" s="5" t="s">
        <v>48</v>
      </c>
      <c r="B22" s="6">
        <v>46072</v>
      </c>
      <c r="C22" s="7" t="s">
        <v>55</v>
      </c>
      <c r="D22" s="8">
        <v>1100.2</v>
      </c>
      <c r="E22" s="58"/>
      <c r="F22" s="54"/>
      <c r="G22" s="55"/>
      <c r="H22" s="56"/>
      <c r="I22" s="57"/>
    </row>
    <row r="23" spans="1:9" x14ac:dyDescent="0.25">
      <c r="A23" s="5" t="s">
        <v>50</v>
      </c>
      <c r="B23" s="6">
        <v>46073</v>
      </c>
      <c r="C23" s="7"/>
      <c r="D23" s="8"/>
      <c r="E23" s="58"/>
      <c r="F23" s="54"/>
      <c r="G23" s="55"/>
      <c r="H23" s="56"/>
      <c r="I23" s="57"/>
    </row>
    <row r="24" spans="1:9" x14ac:dyDescent="0.25">
      <c r="A24" s="5" t="s">
        <v>110</v>
      </c>
      <c r="B24" s="6">
        <v>46073</v>
      </c>
      <c r="C24" s="7"/>
      <c r="D24" s="8">
        <v>263</v>
      </c>
      <c r="E24" s="32"/>
      <c r="F24" s="5" t="s">
        <v>44</v>
      </c>
      <c r="G24" s="6">
        <v>46074</v>
      </c>
      <c r="H24" s="18">
        <v>2890</v>
      </c>
      <c r="I24" s="24"/>
    </row>
    <row r="25" spans="1:9" x14ac:dyDescent="0.25">
      <c r="A25" s="12" t="s">
        <v>58</v>
      </c>
      <c r="B25" s="28">
        <v>46075</v>
      </c>
      <c r="C25" s="29" t="s">
        <v>59</v>
      </c>
      <c r="D25" s="30">
        <v>1966</v>
      </c>
      <c r="F25" s="5" t="s">
        <v>49</v>
      </c>
      <c r="G25" s="6">
        <v>46076</v>
      </c>
      <c r="H25" s="18">
        <v>540</v>
      </c>
      <c r="I25" s="24"/>
    </row>
    <row r="26" spans="1:9" x14ac:dyDescent="0.25">
      <c r="A26" s="12" t="s">
        <v>60</v>
      </c>
      <c r="B26" s="4"/>
      <c r="C26" s="27" t="s">
        <v>77</v>
      </c>
      <c r="D26" s="30">
        <v>353</v>
      </c>
      <c r="F26" s="5" t="s">
        <v>51</v>
      </c>
      <c r="G26" s="6">
        <v>46078</v>
      </c>
      <c r="H26" s="18">
        <v>5800</v>
      </c>
      <c r="I26" s="8"/>
    </row>
    <row r="27" spans="1:9" x14ac:dyDescent="0.25">
      <c r="A27" s="12" t="s">
        <v>62</v>
      </c>
      <c r="B27" s="28">
        <v>46059</v>
      </c>
      <c r="C27" s="27" t="s">
        <v>63</v>
      </c>
      <c r="D27" s="35">
        <v>820</v>
      </c>
      <c r="F27" s="4" t="s">
        <v>40</v>
      </c>
      <c r="G27" s="28">
        <v>46078</v>
      </c>
      <c r="H27" s="59">
        <v>540</v>
      </c>
      <c r="I27" s="4"/>
    </row>
    <row r="28" spans="1:9" x14ac:dyDescent="0.25">
      <c r="A28" s="12" t="s">
        <v>64</v>
      </c>
      <c r="B28" s="4"/>
      <c r="C28" s="4"/>
      <c r="D28" s="35">
        <v>500</v>
      </c>
      <c r="H28" s="39">
        <f>SUM(H24:H27)</f>
        <v>9770</v>
      </c>
    </row>
    <row r="29" spans="1:9" x14ac:dyDescent="0.25">
      <c r="A29" s="4" t="s">
        <v>111</v>
      </c>
      <c r="B29" s="4"/>
      <c r="C29" s="4"/>
      <c r="D29" s="46">
        <v>162</v>
      </c>
    </row>
    <row r="30" spans="1:9" x14ac:dyDescent="0.25">
      <c r="A30" s="4" t="s">
        <v>112</v>
      </c>
      <c r="B30" s="4"/>
      <c r="C30" s="4"/>
      <c r="D30" s="46">
        <v>189.8</v>
      </c>
    </row>
    <row r="31" spans="1:9" x14ac:dyDescent="0.25">
      <c r="A31" s="4" t="s">
        <v>113</v>
      </c>
      <c r="B31" s="4"/>
      <c r="C31" s="53">
        <v>17777</v>
      </c>
      <c r="D31" s="46">
        <v>1560</v>
      </c>
    </row>
    <row r="32" spans="1:9" x14ac:dyDescent="0.25">
      <c r="A32" s="4" t="s">
        <v>114</v>
      </c>
      <c r="B32" s="4"/>
      <c r="C32" s="29" t="s">
        <v>96</v>
      </c>
      <c r="D32" s="46">
        <v>2464</v>
      </c>
    </row>
    <row r="33" spans="1:4" x14ac:dyDescent="0.25">
      <c r="A33" s="4" t="s">
        <v>115</v>
      </c>
      <c r="B33" s="4"/>
      <c r="C33" s="29" t="s">
        <v>98</v>
      </c>
      <c r="D33" s="46">
        <v>757.59</v>
      </c>
    </row>
    <row r="34" spans="1:4" x14ac:dyDescent="0.25">
      <c r="D34" s="39">
        <f>SUM(D3:D33)</f>
        <v>41623.479999999996</v>
      </c>
    </row>
  </sheetData>
  <mergeCells count="2">
    <mergeCell ref="A1:C1"/>
    <mergeCell ref="F1:H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workbookViewId="0">
      <selection activeCell="B52" sqref="B52"/>
    </sheetView>
  </sheetViews>
  <sheetFormatPr defaultRowHeight="15" x14ac:dyDescent="0.25"/>
  <cols>
    <col min="1" max="1" width="20.85546875" customWidth="1"/>
    <col min="2" max="2" width="14.42578125" customWidth="1"/>
    <col min="3" max="3" width="15.5703125" customWidth="1"/>
    <col min="4" max="4" width="14.42578125" customWidth="1"/>
    <col min="5" max="5" width="11.7109375" customWidth="1"/>
    <col min="6" max="6" width="6.140625" customWidth="1"/>
    <col min="7" max="7" width="24.140625" customWidth="1"/>
    <col min="8" max="8" width="11.140625" customWidth="1"/>
    <col min="9" max="9" width="13" customWidth="1"/>
    <col min="10" max="10" width="8.140625" customWidth="1"/>
  </cols>
  <sheetData>
    <row r="1" spans="1:10" x14ac:dyDescent="0.25">
      <c r="A1" s="89" t="s">
        <v>105</v>
      </c>
      <c r="B1" s="90"/>
      <c r="C1" s="90"/>
      <c r="D1" s="36"/>
      <c r="E1" s="37"/>
      <c r="G1" s="89" t="s">
        <v>106</v>
      </c>
      <c r="H1" s="90"/>
      <c r="I1" s="90"/>
      <c r="J1" s="36"/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31" t="s">
        <v>6</v>
      </c>
      <c r="G2" s="2" t="s">
        <v>0</v>
      </c>
      <c r="H2" s="2" t="s">
        <v>1</v>
      </c>
      <c r="I2" s="2" t="s">
        <v>3</v>
      </c>
      <c r="J2" s="31" t="s">
        <v>6</v>
      </c>
    </row>
    <row r="3" spans="1:10" x14ac:dyDescent="0.25">
      <c r="A3" s="26" t="s">
        <v>101</v>
      </c>
      <c r="B3" s="6">
        <v>46082</v>
      </c>
      <c r="C3" s="7" t="s">
        <v>79</v>
      </c>
      <c r="D3" s="8">
        <v>1481.32</v>
      </c>
      <c r="E3" s="32"/>
      <c r="G3" s="5" t="s">
        <v>11</v>
      </c>
      <c r="H3" s="6">
        <v>46083</v>
      </c>
      <c r="I3" s="8">
        <v>454.39</v>
      </c>
      <c r="J3" s="32"/>
    </row>
    <row r="4" spans="1:10" x14ac:dyDescent="0.25">
      <c r="A4" s="26" t="s">
        <v>53</v>
      </c>
      <c r="B4" s="6">
        <v>46085</v>
      </c>
      <c r="C4" s="7" t="s">
        <v>80</v>
      </c>
      <c r="D4" s="8">
        <v>2439.35</v>
      </c>
      <c r="E4" s="32"/>
      <c r="G4" s="5" t="s">
        <v>12</v>
      </c>
      <c r="H4" s="6">
        <v>46084</v>
      </c>
      <c r="I4" s="8">
        <v>1283.19</v>
      </c>
      <c r="J4" s="32"/>
    </row>
    <row r="5" spans="1:10" x14ac:dyDescent="0.25">
      <c r="A5" s="26" t="s">
        <v>99</v>
      </c>
      <c r="B5" s="6">
        <v>46087</v>
      </c>
      <c r="C5" s="7" t="s">
        <v>100</v>
      </c>
      <c r="D5" s="8">
        <v>1371</v>
      </c>
      <c r="E5" s="32"/>
      <c r="G5" s="5" t="s">
        <v>14</v>
      </c>
      <c r="H5" s="6">
        <v>46084</v>
      </c>
      <c r="I5" s="8">
        <v>1604.75</v>
      </c>
      <c r="J5" s="32"/>
    </row>
    <row r="6" spans="1:10" x14ac:dyDescent="0.25">
      <c r="A6" s="52" t="s">
        <v>62</v>
      </c>
      <c r="B6" s="45">
        <v>46087</v>
      </c>
      <c r="C6" s="27" t="s">
        <v>84</v>
      </c>
      <c r="D6" s="35">
        <v>821.09</v>
      </c>
      <c r="E6" s="4"/>
      <c r="G6" s="5" t="s">
        <v>24</v>
      </c>
      <c r="H6" s="6">
        <v>46090</v>
      </c>
      <c r="I6" s="8">
        <v>2167</v>
      </c>
      <c r="J6" s="32"/>
    </row>
    <row r="7" spans="1:10" x14ac:dyDescent="0.25">
      <c r="A7" s="26" t="s">
        <v>19</v>
      </c>
      <c r="B7" s="6">
        <v>46087</v>
      </c>
      <c r="C7" s="7" t="s">
        <v>81</v>
      </c>
      <c r="D7" s="8">
        <v>3313.25</v>
      </c>
      <c r="E7" s="32" t="s">
        <v>126</v>
      </c>
      <c r="G7" s="5" t="s">
        <v>117</v>
      </c>
      <c r="H7" s="6">
        <v>46090</v>
      </c>
      <c r="I7" s="8">
        <v>2681.37</v>
      </c>
      <c r="J7" s="34"/>
    </row>
    <row r="8" spans="1:10" x14ac:dyDescent="0.25">
      <c r="A8" s="26" t="s">
        <v>57</v>
      </c>
      <c r="B8" s="6">
        <v>46094</v>
      </c>
      <c r="C8" s="7" t="s">
        <v>82</v>
      </c>
      <c r="D8" s="8">
        <v>724.02</v>
      </c>
      <c r="E8" s="32"/>
      <c r="G8" s="5" t="s">
        <v>34</v>
      </c>
      <c r="H8" s="6">
        <v>46094</v>
      </c>
      <c r="I8" s="24">
        <v>2221</v>
      </c>
      <c r="J8" s="32"/>
    </row>
    <row r="9" spans="1:10" x14ac:dyDescent="0.25">
      <c r="A9" s="26" t="s">
        <v>95</v>
      </c>
      <c r="B9" s="6">
        <v>46099</v>
      </c>
      <c r="C9" s="7" t="s">
        <v>96</v>
      </c>
      <c r="D9" s="8">
        <v>2464</v>
      </c>
      <c r="E9" s="32"/>
      <c r="G9" s="5" t="s">
        <v>37</v>
      </c>
      <c r="H9" s="6">
        <v>46095</v>
      </c>
      <c r="I9" s="8">
        <v>2775</v>
      </c>
      <c r="J9" s="32"/>
    </row>
    <row r="10" spans="1:10" x14ac:dyDescent="0.25">
      <c r="A10" s="26" t="s">
        <v>48</v>
      </c>
      <c r="B10" s="6">
        <v>46100</v>
      </c>
      <c r="C10" s="7" t="s">
        <v>85</v>
      </c>
      <c r="D10" s="8">
        <v>1100.2</v>
      </c>
      <c r="E10" s="32" t="s">
        <v>127</v>
      </c>
      <c r="G10" s="5" t="s">
        <v>50</v>
      </c>
      <c r="H10" s="6">
        <v>46101</v>
      </c>
      <c r="I10" s="8">
        <v>4270</v>
      </c>
      <c r="J10" s="32"/>
    </row>
    <row r="11" spans="1:10" x14ac:dyDescent="0.25">
      <c r="A11" s="52" t="s">
        <v>58</v>
      </c>
      <c r="B11" s="28">
        <v>46103</v>
      </c>
      <c r="C11" s="29" t="s">
        <v>83</v>
      </c>
      <c r="D11" s="30">
        <v>1966</v>
      </c>
      <c r="E11" s="4"/>
      <c r="G11" s="5" t="s">
        <v>44</v>
      </c>
      <c r="H11" s="6">
        <v>46102</v>
      </c>
      <c r="I11" s="24">
        <v>3087</v>
      </c>
      <c r="J11" s="4"/>
    </row>
    <row r="12" spans="1:10" x14ac:dyDescent="0.25">
      <c r="A12" s="52" t="s">
        <v>97</v>
      </c>
      <c r="B12" s="28">
        <v>46077</v>
      </c>
      <c r="C12" s="29" t="s">
        <v>98</v>
      </c>
      <c r="D12" s="30">
        <v>757.59</v>
      </c>
      <c r="E12" s="4"/>
      <c r="G12" s="5" t="s">
        <v>49</v>
      </c>
      <c r="H12" s="6">
        <v>46104</v>
      </c>
      <c r="I12" s="24">
        <v>522.83000000000004</v>
      </c>
      <c r="J12" s="4"/>
    </row>
    <row r="13" spans="1:10" x14ac:dyDescent="0.25">
      <c r="A13" s="52" t="s">
        <v>125</v>
      </c>
      <c r="B13" s="28"/>
      <c r="C13" s="29"/>
      <c r="D13" s="30">
        <v>6966.62</v>
      </c>
      <c r="E13" s="4"/>
      <c r="G13" s="5" t="s">
        <v>51</v>
      </c>
      <c r="H13" s="6">
        <v>46106</v>
      </c>
      <c r="I13" s="8">
        <v>5067.37</v>
      </c>
      <c r="J13" s="4"/>
    </row>
    <row r="14" spans="1:10" x14ac:dyDescent="0.25">
      <c r="A14" s="12" t="s">
        <v>108</v>
      </c>
      <c r="B14" s="4"/>
      <c r="C14" s="4"/>
      <c r="D14" s="48">
        <f>SUM(D3:D13)</f>
        <v>23404.44</v>
      </c>
      <c r="E14" s="4"/>
      <c r="G14" s="5" t="s">
        <v>109</v>
      </c>
      <c r="H14" s="6"/>
      <c r="I14" s="8">
        <f>SUM(I3:I13)</f>
        <v>26133.9</v>
      </c>
      <c r="J14" s="4"/>
    </row>
    <row r="15" spans="1:10" x14ac:dyDescent="0.25">
      <c r="A15" s="41"/>
      <c r="B15" s="47"/>
      <c r="C15" s="47"/>
      <c r="D15" s="50"/>
      <c r="E15" s="47"/>
      <c r="G15" s="47"/>
      <c r="H15" s="47"/>
      <c r="I15" s="47"/>
      <c r="J15" s="47"/>
    </row>
    <row r="16" spans="1:10" x14ac:dyDescent="0.25">
      <c r="A16" s="41"/>
      <c r="G16" s="89" t="s">
        <v>107</v>
      </c>
      <c r="H16" s="90"/>
      <c r="I16" s="90"/>
      <c r="J16" s="36"/>
    </row>
    <row r="17" spans="1:10" x14ac:dyDescent="0.25">
      <c r="A17" s="92" t="s">
        <v>89</v>
      </c>
      <c r="B17" s="93"/>
      <c r="C17" s="94"/>
      <c r="D17" s="4"/>
      <c r="G17" s="2" t="s">
        <v>0</v>
      </c>
      <c r="H17" s="2" t="s">
        <v>1</v>
      </c>
      <c r="I17" s="2" t="s">
        <v>3</v>
      </c>
      <c r="J17" s="31" t="s">
        <v>6</v>
      </c>
    </row>
    <row r="18" spans="1:10" x14ac:dyDescent="0.25">
      <c r="A18" s="3" t="s">
        <v>4</v>
      </c>
      <c r="B18" s="3" t="s">
        <v>5</v>
      </c>
      <c r="C18" s="3" t="s">
        <v>3</v>
      </c>
      <c r="D18" s="3" t="s">
        <v>6</v>
      </c>
      <c r="G18" s="5" t="s">
        <v>27</v>
      </c>
      <c r="H18" s="6">
        <v>46091</v>
      </c>
      <c r="I18" s="63">
        <v>53.8</v>
      </c>
      <c r="J18" s="8"/>
    </row>
    <row r="19" spans="1:10" x14ac:dyDescent="0.25">
      <c r="A19" s="5" t="s">
        <v>9</v>
      </c>
      <c r="B19" s="6">
        <v>46082</v>
      </c>
      <c r="C19" s="9">
        <v>175.7</v>
      </c>
      <c r="D19" s="4"/>
      <c r="G19" s="5" t="s">
        <v>31</v>
      </c>
      <c r="H19" s="6">
        <v>46091</v>
      </c>
      <c r="I19" s="18">
        <v>331.2</v>
      </c>
      <c r="J19" s="24"/>
    </row>
    <row r="20" spans="1:10" x14ac:dyDescent="0.25">
      <c r="A20" s="14" t="s">
        <v>92</v>
      </c>
      <c r="B20" s="15">
        <v>46088</v>
      </c>
      <c r="C20" s="38">
        <v>200</v>
      </c>
      <c r="D20" s="42"/>
      <c r="E20" s="43"/>
      <c r="G20" s="12" t="s">
        <v>39</v>
      </c>
      <c r="H20" s="6">
        <v>46091</v>
      </c>
      <c r="I20" s="18">
        <v>135.5</v>
      </c>
      <c r="J20" s="8"/>
    </row>
    <row r="21" spans="1:10" x14ac:dyDescent="0.25">
      <c r="A21" s="5" t="s">
        <v>22</v>
      </c>
      <c r="B21" s="6">
        <v>46089</v>
      </c>
      <c r="C21" s="18">
        <v>3700</v>
      </c>
      <c r="D21" s="8"/>
      <c r="G21" s="5" t="s">
        <v>43</v>
      </c>
      <c r="H21" s="6">
        <v>46098</v>
      </c>
      <c r="I21" s="18">
        <v>514.95000000000005</v>
      </c>
      <c r="J21" s="8"/>
    </row>
    <row r="22" spans="1:10" x14ac:dyDescent="0.25">
      <c r="A22" s="5" t="s">
        <v>10</v>
      </c>
      <c r="B22" s="6">
        <v>46091</v>
      </c>
      <c r="C22" s="9">
        <v>142.05000000000001</v>
      </c>
      <c r="D22" s="4"/>
      <c r="G22" s="5" t="s">
        <v>103</v>
      </c>
      <c r="H22" s="6">
        <v>46101</v>
      </c>
      <c r="I22" s="18">
        <v>299</v>
      </c>
      <c r="J22" s="8"/>
    </row>
    <row r="23" spans="1:10" x14ac:dyDescent="0.25">
      <c r="A23" s="5" t="s">
        <v>67</v>
      </c>
      <c r="B23" s="6">
        <v>46091</v>
      </c>
      <c r="C23" s="10">
        <v>207.85</v>
      </c>
      <c r="D23" s="4"/>
      <c r="G23" s="4" t="s">
        <v>102</v>
      </c>
      <c r="H23" s="4"/>
      <c r="I23" s="46">
        <v>400</v>
      </c>
      <c r="J23" s="4"/>
    </row>
    <row r="24" spans="1:10" x14ac:dyDescent="0.25">
      <c r="A24" s="5" t="s">
        <v>13</v>
      </c>
      <c r="B24" s="6">
        <v>46091</v>
      </c>
      <c r="C24" s="11">
        <v>240.53</v>
      </c>
      <c r="D24" s="4"/>
      <c r="G24" s="12" t="s">
        <v>109</v>
      </c>
      <c r="H24" s="4"/>
      <c r="I24" s="46">
        <f>SUM(I18:I23)</f>
        <v>1734.45</v>
      </c>
      <c r="J24" s="4"/>
    </row>
    <row r="25" spans="1:10" x14ac:dyDescent="0.25">
      <c r="A25" s="5" t="s">
        <v>15</v>
      </c>
      <c r="B25" s="6">
        <v>46091</v>
      </c>
      <c r="C25" s="11">
        <v>80</v>
      </c>
      <c r="D25" s="4"/>
    </row>
    <row r="26" spans="1:10" x14ac:dyDescent="0.25">
      <c r="A26" s="14" t="s">
        <v>90</v>
      </c>
      <c r="B26" s="15">
        <v>46091</v>
      </c>
      <c r="C26" s="16">
        <v>472</v>
      </c>
      <c r="D26" s="17"/>
    </row>
    <row r="27" spans="1:10" x14ac:dyDescent="0.25">
      <c r="A27" s="5" t="s">
        <v>91</v>
      </c>
      <c r="B27" s="6">
        <v>46096</v>
      </c>
      <c r="C27" s="9">
        <v>120</v>
      </c>
      <c r="D27" s="4"/>
    </row>
    <row r="28" spans="1:10" x14ac:dyDescent="0.25">
      <c r="A28" s="5" t="s">
        <v>23</v>
      </c>
      <c r="B28" s="6">
        <v>46102</v>
      </c>
      <c r="C28" s="13">
        <v>180</v>
      </c>
      <c r="D28" s="4"/>
    </row>
    <row r="29" spans="1:10" x14ac:dyDescent="0.25">
      <c r="A29" s="12" t="s">
        <v>18</v>
      </c>
      <c r="B29" s="6">
        <v>46109</v>
      </c>
      <c r="C29" s="13">
        <v>80</v>
      </c>
      <c r="D29" s="4"/>
    </row>
    <row r="30" spans="1:10" x14ac:dyDescent="0.25">
      <c r="A30" s="5" t="s">
        <v>25</v>
      </c>
      <c r="B30" s="6">
        <v>46110</v>
      </c>
      <c r="C30" s="18">
        <v>1503.91</v>
      </c>
      <c r="D30" s="4"/>
    </row>
    <row r="31" spans="1:10" x14ac:dyDescent="0.25">
      <c r="A31" s="12" t="s">
        <v>109</v>
      </c>
      <c r="B31" s="4"/>
      <c r="C31" s="62">
        <f>SUM(C19:C30)</f>
        <v>7102.04</v>
      </c>
      <c r="D31" s="4"/>
    </row>
    <row r="32" spans="1:10" x14ac:dyDescent="0.25">
      <c r="A32" s="49"/>
      <c r="B32" s="47"/>
      <c r="C32" s="47"/>
      <c r="D32" s="47"/>
    </row>
    <row r="33" spans="1:11" x14ac:dyDescent="0.25">
      <c r="A33" s="49"/>
      <c r="B33" s="47"/>
      <c r="C33" s="47"/>
      <c r="D33" s="47"/>
    </row>
    <row r="34" spans="1:11" x14ac:dyDescent="0.25">
      <c r="G34" s="90" t="s">
        <v>120</v>
      </c>
      <c r="H34" s="90"/>
      <c r="I34" s="90"/>
      <c r="J34" s="4"/>
    </row>
    <row r="35" spans="1:11" s="43" customFormat="1" x14ac:dyDescent="0.25">
      <c r="A35" s="90" t="s">
        <v>116</v>
      </c>
      <c r="B35" s="90"/>
      <c r="C35" s="90"/>
      <c r="D35" s="4"/>
      <c r="E35"/>
      <c r="G35" s="3" t="s">
        <v>4</v>
      </c>
      <c r="H35" s="3" t="s">
        <v>5</v>
      </c>
      <c r="I35" s="3" t="s">
        <v>3</v>
      </c>
      <c r="J35" s="3" t="s">
        <v>6</v>
      </c>
      <c r="K35"/>
    </row>
    <row r="36" spans="1:11" x14ac:dyDescent="0.25">
      <c r="A36" s="3" t="s">
        <v>4</v>
      </c>
      <c r="B36" s="3" t="s">
        <v>5</v>
      </c>
      <c r="C36" s="3" t="s">
        <v>3</v>
      </c>
      <c r="D36" s="3" t="s">
        <v>6</v>
      </c>
      <c r="G36" s="5" t="s">
        <v>121</v>
      </c>
      <c r="H36" s="6">
        <v>46101</v>
      </c>
      <c r="I36" s="18">
        <v>272.16000000000003</v>
      </c>
      <c r="J36" s="24"/>
    </row>
    <row r="37" spans="1:11" x14ac:dyDescent="0.25">
      <c r="A37" s="5" t="s">
        <v>86</v>
      </c>
      <c r="B37" s="6">
        <v>46091</v>
      </c>
      <c r="C37" s="18">
        <v>568.88</v>
      </c>
      <c r="D37" s="24"/>
      <c r="G37" s="5" t="s">
        <v>122</v>
      </c>
      <c r="H37" s="6">
        <v>46101</v>
      </c>
      <c r="I37" s="18">
        <v>54.92</v>
      </c>
      <c r="J37" s="8"/>
    </row>
    <row r="38" spans="1:11" x14ac:dyDescent="0.25">
      <c r="A38" s="5" t="s">
        <v>88</v>
      </c>
      <c r="B38" s="6">
        <v>46101</v>
      </c>
      <c r="C38" s="18">
        <v>751.08</v>
      </c>
      <c r="D38" s="8"/>
      <c r="G38" s="12" t="s">
        <v>123</v>
      </c>
      <c r="H38" s="28">
        <v>46101</v>
      </c>
      <c r="I38" s="46">
        <v>300</v>
      </c>
      <c r="J38" s="35"/>
    </row>
    <row r="39" spans="1:11" x14ac:dyDescent="0.25">
      <c r="A39" s="12" t="s">
        <v>94</v>
      </c>
      <c r="B39" s="28">
        <v>46101</v>
      </c>
      <c r="C39" s="46">
        <v>500</v>
      </c>
      <c r="D39" s="35"/>
      <c r="G39" s="5"/>
      <c r="H39" s="6"/>
      <c r="I39" s="18"/>
      <c r="J39" s="8"/>
    </row>
    <row r="40" spans="1:11" x14ac:dyDescent="0.25">
      <c r="A40" s="5" t="s">
        <v>87</v>
      </c>
      <c r="B40" s="6">
        <v>46101</v>
      </c>
      <c r="C40" s="18">
        <v>656.52</v>
      </c>
      <c r="D40" s="8"/>
      <c r="G40" s="5"/>
      <c r="H40" s="6"/>
      <c r="I40" s="18"/>
      <c r="J40" s="8"/>
    </row>
    <row r="41" spans="1:11" x14ac:dyDescent="0.25">
      <c r="A41" s="5" t="s">
        <v>104</v>
      </c>
      <c r="B41" s="6">
        <v>46101</v>
      </c>
      <c r="C41" s="18">
        <v>142.47999999999999</v>
      </c>
      <c r="D41" s="8"/>
      <c r="G41" s="5" t="s">
        <v>109</v>
      </c>
      <c r="H41" s="6"/>
      <c r="I41" s="18">
        <f>SUM(I36:I40)</f>
        <v>627.08000000000004</v>
      </c>
      <c r="J41" s="8"/>
    </row>
    <row r="42" spans="1:11" x14ac:dyDescent="0.25">
      <c r="A42" s="5" t="s">
        <v>119</v>
      </c>
      <c r="B42" s="6">
        <v>46101</v>
      </c>
      <c r="C42" s="18">
        <v>787.37</v>
      </c>
      <c r="D42" s="8"/>
    </row>
    <row r="43" spans="1:11" x14ac:dyDescent="0.25">
      <c r="A43" s="5" t="s">
        <v>118</v>
      </c>
      <c r="B43" s="6">
        <v>46111</v>
      </c>
      <c r="C43" s="18">
        <v>427.03</v>
      </c>
      <c r="D43" s="8"/>
    </row>
    <row r="44" spans="1:11" x14ac:dyDescent="0.25">
      <c r="A44" s="5" t="s">
        <v>109</v>
      </c>
      <c r="B44" s="6"/>
      <c r="C44" s="18">
        <f>SUM(C37:C43)</f>
        <v>3833.3599999999997</v>
      </c>
      <c r="D44" s="8"/>
    </row>
    <row r="46" spans="1:11" x14ac:dyDescent="0.25">
      <c r="A46" s="44" t="s">
        <v>28</v>
      </c>
      <c r="B46" s="44" t="s">
        <v>29</v>
      </c>
      <c r="C46" s="44" t="s">
        <v>30</v>
      </c>
      <c r="D46" s="3" t="s">
        <v>6</v>
      </c>
    </row>
    <row r="47" spans="1:11" x14ac:dyDescent="0.25">
      <c r="A47" s="36" t="s">
        <v>32</v>
      </c>
      <c r="B47" s="4"/>
      <c r="C47" s="26"/>
      <c r="D47" s="8"/>
    </row>
    <row r="48" spans="1:11" x14ac:dyDescent="0.25">
      <c r="A48" s="36" t="s">
        <v>68</v>
      </c>
      <c r="B48" s="26"/>
      <c r="C48" s="26"/>
      <c r="D48" s="24"/>
    </row>
    <row r="49" spans="1:4" x14ac:dyDescent="0.25">
      <c r="A49" s="36" t="s">
        <v>36</v>
      </c>
      <c r="B49" s="26"/>
      <c r="C49" s="26"/>
      <c r="D49" s="35"/>
    </row>
    <row r="50" spans="1:4" x14ac:dyDescent="0.25">
      <c r="A50" s="60" t="s">
        <v>38</v>
      </c>
      <c r="B50" s="26"/>
      <c r="C50" s="26"/>
      <c r="D50" s="35"/>
    </row>
    <row r="51" spans="1:4" x14ac:dyDescent="0.25">
      <c r="A51" s="36" t="s">
        <v>93</v>
      </c>
      <c r="B51" s="6"/>
      <c r="C51" s="7"/>
      <c r="D51" s="24"/>
    </row>
    <row r="53" spans="1:4" x14ac:dyDescent="0.25">
      <c r="A53" s="64" t="s">
        <v>109</v>
      </c>
      <c r="B53" s="65" t="s">
        <v>124</v>
      </c>
      <c r="C53" s="65"/>
      <c r="D53" s="34"/>
    </row>
  </sheetData>
  <mergeCells count="6">
    <mergeCell ref="A1:C1"/>
    <mergeCell ref="A17:C17"/>
    <mergeCell ref="A35:C35"/>
    <mergeCell ref="G1:I1"/>
    <mergeCell ref="G16:I16"/>
    <mergeCell ref="G34:I34"/>
  </mergeCells>
  <pageMargins left="0.511811024" right="0.511811024" top="0.78740157499999996" bottom="0.78740157499999996" header="0.31496062000000002" footer="0.31496062000000002"/>
  <pageSetup paperSize="9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opLeftCell="A16" workbookViewId="0">
      <selection activeCell="D3" sqref="D3:D13"/>
    </sheetView>
  </sheetViews>
  <sheetFormatPr defaultRowHeight="15" x14ac:dyDescent="0.25"/>
  <cols>
    <col min="1" max="1" width="21.140625" customWidth="1"/>
    <col min="2" max="2" width="12.42578125" bestFit="1" customWidth="1"/>
    <col min="3" max="3" width="12" customWidth="1"/>
    <col min="4" max="4" width="14.85546875" customWidth="1"/>
    <col min="5" max="5" width="7.5703125" customWidth="1"/>
    <col min="7" max="7" width="23.5703125" customWidth="1"/>
    <col min="8" max="8" width="10.85546875" customWidth="1"/>
    <col min="9" max="9" width="13.7109375" customWidth="1"/>
    <col min="10" max="10" width="8.28515625" customWidth="1"/>
  </cols>
  <sheetData>
    <row r="1" spans="1:10" x14ac:dyDescent="0.25">
      <c r="A1" s="89" t="s">
        <v>129</v>
      </c>
      <c r="B1" s="90"/>
      <c r="C1" s="90"/>
      <c r="D1" s="60"/>
      <c r="E1" s="61"/>
      <c r="G1" s="89" t="s">
        <v>130</v>
      </c>
      <c r="H1" s="90"/>
      <c r="I1" s="90"/>
      <c r="J1" s="60"/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31" t="s">
        <v>6</v>
      </c>
      <c r="G2" s="2" t="s">
        <v>0</v>
      </c>
      <c r="H2" s="2" t="s">
        <v>1</v>
      </c>
      <c r="I2" s="2" t="s">
        <v>3</v>
      </c>
      <c r="J2" s="31" t="s">
        <v>6</v>
      </c>
    </row>
    <row r="3" spans="1:10" x14ac:dyDescent="0.25">
      <c r="A3" s="26" t="s">
        <v>152</v>
      </c>
      <c r="B3" s="6">
        <v>46113</v>
      </c>
      <c r="C3" s="7" t="s">
        <v>135</v>
      </c>
      <c r="D3" s="8">
        <v>1481.32</v>
      </c>
      <c r="E3" s="32"/>
      <c r="G3" s="5" t="s">
        <v>11</v>
      </c>
      <c r="H3" s="6">
        <v>46114</v>
      </c>
      <c r="I3" s="8">
        <v>1330.72</v>
      </c>
      <c r="J3" s="32"/>
    </row>
    <row r="4" spans="1:10" x14ac:dyDescent="0.25">
      <c r="A4" s="26" t="s">
        <v>153</v>
      </c>
      <c r="B4" s="6">
        <v>46116</v>
      </c>
      <c r="C4" s="7" t="s">
        <v>136</v>
      </c>
      <c r="D4" s="8">
        <v>2439.35</v>
      </c>
      <c r="E4" s="32"/>
      <c r="G4" s="5" t="s">
        <v>12</v>
      </c>
      <c r="H4" s="6">
        <v>46115</v>
      </c>
      <c r="I4" s="8">
        <v>1540.45</v>
      </c>
      <c r="J4" s="32"/>
    </row>
    <row r="5" spans="1:10" x14ac:dyDescent="0.25">
      <c r="A5" s="26" t="s">
        <v>151</v>
      </c>
      <c r="B5" s="6">
        <v>46118</v>
      </c>
      <c r="C5" s="7" t="s">
        <v>137</v>
      </c>
      <c r="D5" s="8">
        <v>1571</v>
      </c>
      <c r="E5" s="32"/>
      <c r="G5" s="5" t="s">
        <v>14</v>
      </c>
      <c r="H5" s="6">
        <v>46115</v>
      </c>
      <c r="I5" s="8">
        <v>1860.34</v>
      </c>
      <c r="J5" s="32"/>
    </row>
    <row r="6" spans="1:10" x14ac:dyDescent="0.25">
      <c r="A6" s="52" t="s">
        <v>154</v>
      </c>
      <c r="B6" s="45">
        <v>46118</v>
      </c>
      <c r="C6" s="27" t="s">
        <v>138</v>
      </c>
      <c r="D6" s="35">
        <v>821.09</v>
      </c>
      <c r="E6" s="4"/>
      <c r="G6" s="5" t="s">
        <v>24</v>
      </c>
      <c r="H6" s="6">
        <v>46121</v>
      </c>
      <c r="I6" s="8">
        <v>1512.6</v>
      </c>
      <c r="J6" s="32"/>
    </row>
    <row r="7" spans="1:10" x14ac:dyDescent="0.25">
      <c r="A7" s="26" t="s">
        <v>150</v>
      </c>
      <c r="B7" s="6">
        <v>46118</v>
      </c>
      <c r="C7" s="7" t="s">
        <v>139</v>
      </c>
      <c r="D7" s="8">
        <v>3313.25</v>
      </c>
      <c r="E7" s="32"/>
      <c r="G7" s="5" t="s">
        <v>155</v>
      </c>
      <c r="H7" s="6">
        <v>46121</v>
      </c>
      <c r="I7" s="8">
        <v>2482.11</v>
      </c>
      <c r="J7" s="34"/>
    </row>
    <row r="8" spans="1:10" x14ac:dyDescent="0.25">
      <c r="A8" s="26" t="s">
        <v>149</v>
      </c>
      <c r="B8" s="6">
        <v>46125</v>
      </c>
      <c r="C8" s="7" t="s">
        <v>140</v>
      </c>
      <c r="D8" s="8">
        <v>724.02</v>
      </c>
      <c r="E8" s="32"/>
      <c r="G8" s="5" t="s">
        <v>34</v>
      </c>
      <c r="H8" s="6">
        <v>46125</v>
      </c>
      <c r="I8" s="24">
        <v>1219.28</v>
      </c>
      <c r="J8" s="32"/>
    </row>
    <row r="9" spans="1:10" x14ac:dyDescent="0.25">
      <c r="A9" s="26" t="s">
        <v>148</v>
      </c>
      <c r="B9" s="6">
        <v>46130</v>
      </c>
      <c r="C9" s="7" t="s">
        <v>141</v>
      </c>
      <c r="D9" s="8">
        <v>2464</v>
      </c>
      <c r="E9" s="32"/>
      <c r="G9" s="5" t="s">
        <v>37</v>
      </c>
      <c r="H9" s="6">
        <v>46126</v>
      </c>
      <c r="I9" s="8">
        <v>4203.5200000000004</v>
      </c>
      <c r="J9" s="32"/>
    </row>
    <row r="10" spans="1:10" x14ac:dyDescent="0.25">
      <c r="A10" s="26" t="s">
        <v>147</v>
      </c>
      <c r="B10" s="6">
        <v>46131</v>
      </c>
      <c r="C10" s="7" t="s">
        <v>142</v>
      </c>
      <c r="D10" s="8">
        <v>1100.2</v>
      </c>
      <c r="E10" s="32"/>
      <c r="G10" s="5" t="s">
        <v>50</v>
      </c>
      <c r="H10" s="6">
        <v>46132</v>
      </c>
      <c r="I10" s="8">
        <v>5342.84</v>
      </c>
      <c r="J10" s="32"/>
    </row>
    <row r="11" spans="1:10" x14ac:dyDescent="0.25">
      <c r="A11" s="52" t="s">
        <v>146</v>
      </c>
      <c r="B11" s="28">
        <v>46134</v>
      </c>
      <c r="C11" s="29" t="s">
        <v>143</v>
      </c>
      <c r="D11" s="30">
        <v>1966</v>
      </c>
      <c r="E11" s="4"/>
      <c r="G11" s="5" t="s">
        <v>44</v>
      </c>
      <c r="H11" s="6">
        <v>46133</v>
      </c>
      <c r="I11" s="24">
        <v>3545.7</v>
      </c>
      <c r="J11" s="4"/>
    </row>
    <row r="12" spans="1:10" x14ac:dyDescent="0.25">
      <c r="A12" s="52" t="s">
        <v>156</v>
      </c>
      <c r="B12" s="28">
        <v>46138</v>
      </c>
      <c r="C12" s="53">
        <v>45597</v>
      </c>
      <c r="D12" s="30">
        <v>1854.99</v>
      </c>
      <c r="E12" s="4"/>
      <c r="G12" s="5" t="s">
        <v>49</v>
      </c>
      <c r="H12" s="6">
        <v>46135</v>
      </c>
      <c r="I12" s="24">
        <v>522</v>
      </c>
      <c r="J12" s="4"/>
    </row>
    <row r="13" spans="1:10" x14ac:dyDescent="0.25">
      <c r="A13" s="52" t="s">
        <v>145</v>
      </c>
      <c r="B13" s="28">
        <v>46136</v>
      </c>
      <c r="C13" s="29" t="s">
        <v>144</v>
      </c>
      <c r="D13" s="30">
        <v>757.59</v>
      </c>
      <c r="E13" s="4"/>
      <c r="G13" s="5" t="s">
        <v>51</v>
      </c>
      <c r="H13" s="6">
        <v>46137</v>
      </c>
      <c r="I13" s="8">
        <v>4667.2299999999996</v>
      </c>
      <c r="J13" s="4"/>
    </row>
    <row r="14" spans="1:10" x14ac:dyDescent="0.25">
      <c r="A14" s="12" t="s">
        <v>108</v>
      </c>
      <c r="B14" s="4"/>
      <c r="C14" s="4"/>
      <c r="D14" s="48">
        <f>SUM(D3:D13)</f>
        <v>18492.810000000001</v>
      </c>
      <c r="E14" s="4"/>
      <c r="G14" s="5" t="s">
        <v>109</v>
      </c>
      <c r="H14" s="6"/>
      <c r="I14" s="8">
        <f>SUM(I3:I13)</f>
        <v>28226.79</v>
      </c>
      <c r="J14" s="4"/>
    </row>
    <row r="15" spans="1:10" x14ac:dyDescent="0.25">
      <c r="A15" s="41"/>
      <c r="B15" s="47"/>
      <c r="C15" s="47"/>
      <c r="D15" s="50"/>
      <c r="E15" s="47"/>
      <c r="G15" s="47"/>
      <c r="H15" s="47"/>
      <c r="I15" s="47"/>
      <c r="J15" s="47"/>
    </row>
    <row r="16" spans="1:10" x14ac:dyDescent="0.25">
      <c r="A16" s="41"/>
      <c r="G16" s="89" t="s">
        <v>132</v>
      </c>
      <c r="H16" s="90"/>
      <c r="I16" s="90"/>
      <c r="J16" s="60"/>
    </row>
    <row r="17" spans="1:10" x14ac:dyDescent="0.25">
      <c r="A17" s="92" t="s">
        <v>131</v>
      </c>
      <c r="B17" s="93"/>
      <c r="C17" s="94"/>
      <c r="D17" s="4"/>
      <c r="G17" s="2" t="s">
        <v>0</v>
      </c>
      <c r="H17" s="2" t="s">
        <v>1</v>
      </c>
      <c r="I17" s="2" t="s">
        <v>3</v>
      </c>
      <c r="J17" s="31" t="s">
        <v>6</v>
      </c>
    </row>
    <row r="18" spans="1:10" x14ac:dyDescent="0.25">
      <c r="A18" s="3" t="s">
        <v>4</v>
      </c>
      <c r="B18" s="3" t="s">
        <v>5</v>
      </c>
      <c r="C18" s="3" t="s">
        <v>3</v>
      </c>
      <c r="D18" s="3" t="s">
        <v>6</v>
      </c>
      <c r="G18" s="5" t="s">
        <v>27</v>
      </c>
      <c r="H18" s="6">
        <v>46122</v>
      </c>
      <c r="I18" s="18">
        <v>235</v>
      </c>
      <c r="J18" s="8"/>
    </row>
    <row r="19" spans="1:10" x14ac:dyDescent="0.25">
      <c r="A19" s="5" t="s">
        <v>9</v>
      </c>
      <c r="B19" s="6">
        <v>46113</v>
      </c>
      <c r="C19" s="9">
        <v>188.85</v>
      </c>
      <c r="D19" s="4"/>
      <c r="G19" s="5" t="s">
        <v>31</v>
      </c>
      <c r="H19" s="6">
        <v>46122</v>
      </c>
      <c r="I19" s="18">
        <v>363.1</v>
      </c>
      <c r="J19" s="24"/>
    </row>
    <row r="20" spans="1:10" x14ac:dyDescent="0.25">
      <c r="A20" s="14" t="s">
        <v>92</v>
      </c>
      <c r="B20" s="15">
        <v>46119</v>
      </c>
      <c r="C20" s="38">
        <v>200</v>
      </c>
      <c r="D20" s="42"/>
      <c r="E20" s="43"/>
      <c r="G20" s="12" t="s">
        <v>39</v>
      </c>
      <c r="H20" s="6">
        <v>46122</v>
      </c>
      <c r="I20" s="18">
        <v>135.5</v>
      </c>
      <c r="J20" s="8"/>
    </row>
    <row r="21" spans="1:10" x14ac:dyDescent="0.25">
      <c r="A21" s="5" t="s">
        <v>22</v>
      </c>
      <c r="B21" s="6">
        <v>46120</v>
      </c>
      <c r="C21" s="18">
        <v>3700</v>
      </c>
      <c r="D21" s="8"/>
      <c r="G21" s="5" t="s">
        <v>43</v>
      </c>
      <c r="H21" s="6">
        <v>46129</v>
      </c>
      <c r="I21" s="18">
        <v>514.95000000000005</v>
      </c>
      <c r="J21" s="8"/>
    </row>
    <row r="22" spans="1:10" x14ac:dyDescent="0.25">
      <c r="A22" s="5" t="s">
        <v>10</v>
      </c>
      <c r="B22" s="6">
        <v>46122</v>
      </c>
      <c r="C22" s="9">
        <v>207.12</v>
      </c>
      <c r="D22" s="4"/>
      <c r="G22" s="5" t="s">
        <v>103</v>
      </c>
      <c r="H22" s="6">
        <v>46132</v>
      </c>
      <c r="I22" s="18">
        <v>299</v>
      </c>
      <c r="J22" s="8"/>
    </row>
    <row r="23" spans="1:10" x14ac:dyDescent="0.25">
      <c r="A23" s="5" t="s">
        <v>67</v>
      </c>
      <c r="B23" s="6">
        <v>46122</v>
      </c>
      <c r="C23" s="10">
        <v>197.89</v>
      </c>
      <c r="D23" s="4"/>
      <c r="G23" s="4" t="s">
        <v>102</v>
      </c>
      <c r="H23" s="4"/>
      <c r="I23" s="46">
        <v>850</v>
      </c>
      <c r="J23" s="4"/>
    </row>
    <row r="24" spans="1:10" x14ac:dyDescent="0.25">
      <c r="A24" s="5" t="s">
        <v>13</v>
      </c>
      <c r="B24" s="6">
        <v>46122</v>
      </c>
      <c r="C24" s="11">
        <v>264.43</v>
      </c>
      <c r="D24" s="4"/>
      <c r="G24" s="12" t="s">
        <v>109</v>
      </c>
      <c r="H24" s="4"/>
      <c r="I24" s="48">
        <f>SUM(I18:I23)</f>
        <v>2397.5500000000002</v>
      </c>
      <c r="J24" s="4"/>
    </row>
    <row r="25" spans="1:10" x14ac:dyDescent="0.25">
      <c r="A25" s="5" t="s">
        <v>15</v>
      </c>
      <c r="B25" s="6">
        <v>46122</v>
      </c>
      <c r="C25" s="11">
        <v>80</v>
      </c>
      <c r="D25" s="4"/>
    </row>
    <row r="26" spans="1:10" x14ac:dyDescent="0.25">
      <c r="A26" s="14" t="s">
        <v>90</v>
      </c>
      <c r="B26" s="15">
        <v>46122</v>
      </c>
      <c r="C26" s="16">
        <v>472</v>
      </c>
      <c r="D26" s="17"/>
    </row>
    <row r="27" spans="1:10" x14ac:dyDescent="0.25">
      <c r="A27" s="5" t="s">
        <v>91</v>
      </c>
      <c r="B27" s="6">
        <v>46127</v>
      </c>
      <c r="C27" s="9">
        <v>120</v>
      </c>
      <c r="D27" s="4"/>
    </row>
    <row r="28" spans="1:10" x14ac:dyDescent="0.25">
      <c r="A28" s="5" t="s">
        <v>23</v>
      </c>
      <c r="B28" s="6">
        <v>46133</v>
      </c>
      <c r="C28" s="13">
        <v>180</v>
      </c>
      <c r="D28" s="4"/>
    </row>
    <row r="29" spans="1:10" x14ac:dyDescent="0.25">
      <c r="A29" s="12" t="s">
        <v>18</v>
      </c>
      <c r="B29" s="6">
        <v>46140</v>
      </c>
      <c r="C29" s="13">
        <v>80</v>
      </c>
      <c r="D29" s="4"/>
      <c r="G29" t="s">
        <v>157</v>
      </c>
    </row>
    <row r="30" spans="1:10" x14ac:dyDescent="0.25">
      <c r="A30" s="5" t="s">
        <v>25</v>
      </c>
      <c r="B30" s="6">
        <v>46141</v>
      </c>
      <c r="C30" s="18">
        <v>1503.91</v>
      </c>
      <c r="D30" s="4"/>
    </row>
    <row r="31" spans="1:10" x14ac:dyDescent="0.25">
      <c r="A31" s="12" t="s">
        <v>109</v>
      </c>
      <c r="B31" s="4"/>
      <c r="C31" s="62">
        <f>SUM(C19:C30)</f>
        <v>7194.2000000000007</v>
      </c>
      <c r="D31" s="4"/>
    </row>
    <row r="32" spans="1:10" x14ac:dyDescent="0.25">
      <c r="A32" s="49"/>
      <c r="B32" s="47"/>
      <c r="C32" s="47"/>
      <c r="D32" s="47"/>
    </row>
    <row r="33" spans="1:11" x14ac:dyDescent="0.25">
      <c r="A33" s="49"/>
      <c r="B33" s="47"/>
      <c r="C33" s="47"/>
      <c r="D33" s="47"/>
    </row>
    <row r="34" spans="1:11" x14ac:dyDescent="0.25">
      <c r="G34" s="90" t="s">
        <v>134</v>
      </c>
      <c r="H34" s="90"/>
      <c r="I34" s="90"/>
      <c r="J34" s="4"/>
    </row>
    <row r="35" spans="1:11" x14ac:dyDescent="0.25">
      <c r="A35" s="90" t="s">
        <v>133</v>
      </c>
      <c r="B35" s="90"/>
      <c r="C35" s="90"/>
      <c r="D35" s="4"/>
      <c r="F35" s="43"/>
      <c r="G35" s="3" t="s">
        <v>4</v>
      </c>
      <c r="H35" s="3" t="s">
        <v>5</v>
      </c>
      <c r="I35" s="3" t="s">
        <v>3</v>
      </c>
      <c r="J35" s="3" t="s">
        <v>6</v>
      </c>
      <c r="K35" s="43"/>
    </row>
    <row r="36" spans="1:11" x14ac:dyDescent="0.25">
      <c r="A36" s="3" t="s">
        <v>4</v>
      </c>
      <c r="B36" s="3" t="s">
        <v>5</v>
      </c>
      <c r="C36" s="3" t="s">
        <v>3</v>
      </c>
      <c r="D36" s="3" t="s">
        <v>6</v>
      </c>
      <c r="G36" s="5" t="s">
        <v>121</v>
      </c>
      <c r="H36" s="6">
        <v>46132</v>
      </c>
      <c r="I36" s="18">
        <v>447.31</v>
      </c>
      <c r="J36" s="24"/>
    </row>
    <row r="37" spans="1:11" x14ac:dyDescent="0.25">
      <c r="A37" s="5" t="s">
        <v>86</v>
      </c>
      <c r="B37" s="6">
        <v>46122</v>
      </c>
      <c r="C37" s="18">
        <v>326.33</v>
      </c>
      <c r="D37" s="24"/>
      <c r="G37" s="5" t="s">
        <v>122</v>
      </c>
      <c r="H37" s="6">
        <v>46132</v>
      </c>
      <c r="I37" s="18">
        <v>227.64</v>
      </c>
      <c r="J37" s="8"/>
    </row>
    <row r="38" spans="1:11" x14ac:dyDescent="0.25">
      <c r="A38" s="5" t="s">
        <v>88</v>
      </c>
      <c r="B38" s="6">
        <v>46132</v>
      </c>
      <c r="C38" s="18">
        <v>553.91999999999996</v>
      </c>
      <c r="D38" s="8"/>
      <c r="G38" s="12" t="s">
        <v>123</v>
      </c>
      <c r="H38" s="28">
        <v>46132</v>
      </c>
      <c r="I38" s="46">
        <v>300</v>
      </c>
      <c r="J38" s="35"/>
    </row>
    <row r="39" spans="1:11" x14ac:dyDescent="0.25">
      <c r="A39" s="12" t="s">
        <v>94</v>
      </c>
      <c r="B39" s="28">
        <v>46132</v>
      </c>
      <c r="C39" s="46">
        <v>500</v>
      </c>
      <c r="D39" s="35"/>
      <c r="G39" s="5"/>
      <c r="H39" s="6"/>
      <c r="I39" s="18"/>
      <c r="J39" s="8"/>
    </row>
    <row r="40" spans="1:11" x14ac:dyDescent="0.25">
      <c r="A40" s="5" t="s">
        <v>87</v>
      </c>
      <c r="B40" s="6">
        <v>46132</v>
      </c>
      <c r="C40" s="18">
        <v>416.48</v>
      </c>
      <c r="D40" s="8"/>
      <c r="G40" s="5"/>
      <c r="H40" s="6"/>
      <c r="I40" s="18">
        <f>SUM(I36:I39)</f>
        <v>974.95</v>
      </c>
      <c r="J40" s="8"/>
    </row>
    <row r="41" spans="1:11" x14ac:dyDescent="0.25">
      <c r="A41" s="5" t="s">
        <v>104</v>
      </c>
      <c r="B41" s="6">
        <v>46132</v>
      </c>
      <c r="C41" s="18">
        <v>136.08000000000001</v>
      </c>
      <c r="D41" s="8"/>
      <c r="G41" s="5" t="s">
        <v>109</v>
      </c>
      <c r="H41" s="6"/>
      <c r="I41" s="8"/>
      <c r="J41" s="4"/>
    </row>
    <row r="42" spans="1:11" x14ac:dyDescent="0.25">
      <c r="A42" s="5" t="s">
        <v>119</v>
      </c>
      <c r="B42" s="6">
        <v>46132</v>
      </c>
      <c r="C42" s="18">
        <v>787.34</v>
      </c>
      <c r="D42" s="8"/>
    </row>
    <row r="43" spans="1:11" x14ac:dyDescent="0.25">
      <c r="A43" s="5" t="s">
        <v>118</v>
      </c>
      <c r="B43" s="6">
        <v>46142</v>
      </c>
      <c r="C43" s="18">
        <v>280.83999999999997</v>
      </c>
      <c r="D43" s="8"/>
    </row>
    <row r="44" spans="1:11" x14ac:dyDescent="0.25">
      <c r="A44" s="5" t="s">
        <v>128</v>
      </c>
      <c r="B44" s="6"/>
      <c r="C44" s="70">
        <f>SUM(C37:C43)</f>
        <v>3000.9900000000002</v>
      </c>
      <c r="D44" s="8"/>
    </row>
    <row r="46" spans="1:11" x14ac:dyDescent="0.25">
      <c r="A46" s="44" t="s">
        <v>28</v>
      </c>
      <c r="B46" s="44" t="s">
        <v>29</v>
      </c>
      <c r="C46" s="44" t="s">
        <v>30</v>
      </c>
      <c r="D46" s="3" t="s">
        <v>6</v>
      </c>
    </row>
    <row r="47" spans="1:11" x14ac:dyDescent="0.25">
      <c r="A47" s="60" t="s">
        <v>32</v>
      </c>
      <c r="B47" s="4"/>
      <c r="C47" s="26"/>
      <c r="D47" s="8"/>
    </row>
    <row r="48" spans="1:11" x14ac:dyDescent="0.25">
      <c r="A48" s="60" t="s">
        <v>68</v>
      </c>
      <c r="B48" s="26"/>
      <c r="C48" s="26"/>
      <c r="D48" s="24"/>
    </row>
    <row r="49" spans="1:4" x14ac:dyDescent="0.25">
      <c r="A49" s="60" t="s">
        <v>36</v>
      </c>
      <c r="B49" s="26"/>
      <c r="C49" s="26"/>
      <c r="D49" s="35"/>
    </row>
    <row r="50" spans="1:4" x14ac:dyDescent="0.25">
      <c r="A50" s="60"/>
      <c r="B50" s="6"/>
      <c r="C50" s="7"/>
      <c r="D50" s="24"/>
    </row>
    <row r="52" spans="1:4" x14ac:dyDescent="0.25">
      <c r="A52" s="51" t="s">
        <v>109</v>
      </c>
    </row>
  </sheetData>
  <mergeCells count="6">
    <mergeCell ref="A1:C1"/>
    <mergeCell ref="G1:I1"/>
    <mergeCell ref="A17:C17"/>
    <mergeCell ref="G16:I16"/>
    <mergeCell ref="A35:C35"/>
    <mergeCell ref="G34:I34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opLeftCell="A19" workbookViewId="0">
      <selection activeCell="A29" sqref="A29"/>
    </sheetView>
  </sheetViews>
  <sheetFormatPr defaultRowHeight="15" x14ac:dyDescent="0.25"/>
  <cols>
    <col min="1" max="1" width="21" customWidth="1"/>
    <col min="2" max="2" width="12.85546875" customWidth="1"/>
    <col min="3" max="3" width="13.5703125" customWidth="1"/>
    <col min="4" max="4" width="15" customWidth="1"/>
    <col min="7" max="7" width="23.5703125" customWidth="1"/>
    <col min="8" max="8" width="12.140625" customWidth="1"/>
    <col min="9" max="9" width="12.5703125" customWidth="1"/>
  </cols>
  <sheetData>
    <row r="1" spans="1:10" x14ac:dyDescent="0.25">
      <c r="A1" s="89" t="s">
        <v>171</v>
      </c>
      <c r="B1" s="90"/>
      <c r="C1" s="90"/>
      <c r="D1" s="66"/>
      <c r="E1" s="67"/>
      <c r="G1" s="89" t="s">
        <v>170</v>
      </c>
      <c r="H1" s="90"/>
      <c r="I1" s="90"/>
      <c r="J1" s="66"/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31" t="s">
        <v>6</v>
      </c>
      <c r="G2" s="2" t="s">
        <v>0</v>
      </c>
      <c r="H2" s="2" t="s">
        <v>1</v>
      </c>
      <c r="I2" s="2" t="s">
        <v>3</v>
      </c>
      <c r="J2" s="31" t="s">
        <v>6</v>
      </c>
    </row>
    <row r="3" spans="1:10" x14ac:dyDescent="0.25">
      <c r="A3" s="26" t="s">
        <v>152</v>
      </c>
      <c r="B3" s="6">
        <v>46143</v>
      </c>
      <c r="C3" s="7" t="s">
        <v>73</v>
      </c>
      <c r="D3" s="8">
        <v>1481.32</v>
      </c>
      <c r="E3" s="32"/>
      <c r="G3" s="5" t="s">
        <v>11</v>
      </c>
      <c r="H3" s="6">
        <v>46144</v>
      </c>
      <c r="I3" s="8">
        <v>1166.1099999999999</v>
      </c>
      <c r="J3" s="32"/>
    </row>
    <row r="4" spans="1:10" x14ac:dyDescent="0.25">
      <c r="A4" s="26" t="s">
        <v>153</v>
      </c>
      <c r="B4" s="6">
        <v>46146</v>
      </c>
      <c r="C4" s="7" t="s">
        <v>159</v>
      </c>
      <c r="D4" s="8">
        <v>2440</v>
      </c>
      <c r="E4" s="32"/>
      <c r="G4" s="5" t="s">
        <v>167</v>
      </c>
      <c r="H4" s="6">
        <v>46145</v>
      </c>
      <c r="I4" s="8">
        <v>1820</v>
      </c>
      <c r="J4" s="32"/>
    </row>
    <row r="5" spans="1:10" x14ac:dyDescent="0.25">
      <c r="A5" s="26" t="s">
        <v>151</v>
      </c>
      <c r="B5" s="6">
        <v>46148</v>
      </c>
      <c r="C5" s="7" t="s">
        <v>160</v>
      </c>
      <c r="D5" s="8">
        <v>1571</v>
      </c>
      <c r="E5" s="32"/>
      <c r="G5" s="5" t="s">
        <v>12</v>
      </c>
      <c r="H5" s="6">
        <v>46145</v>
      </c>
      <c r="I5" s="8">
        <v>1870.18</v>
      </c>
      <c r="J5" s="32"/>
    </row>
    <row r="6" spans="1:10" x14ac:dyDescent="0.25">
      <c r="A6" s="52" t="s">
        <v>154</v>
      </c>
      <c r="B6" s="45">
        <v>46148</v>
      </c>
      <c r="C6" s="27" t="s">
        <v>161</v>
      </c>
      <c r="D6" s="35">
        <v>821.19</v>
      </c>
      <c r="E6" s="4"/>
      <c r="G6" s="5" t="s">
        <v>14</v>
      </c>
      <c r="H6" s="6">
        <v>46145</v>
      </c>
      <c r="I6" s="8">
        <v>1613.69</v>
      </c>
      <c r="J6" s="32"/>
    </row>
    <row r="7" spans="1:10" x14ac:dyDescent="0.25">
      <c r="A7" s="26" t="s">
        <v>150</v>
      </c>
      <c r="B7" s="6">
        <v>46148</v>
      </c>
      <c r="C7" s="7" t="s">
        <v>96</v>
      </c>
      <c r="D7" s="8">
        <v>3313.25</v>
      </c>
      <c r="E7" s="32"/>
      <c r="G7" s="5" t="s">
        <v>24</v>
      </c>
      <c r="H7" s="6">
        <v>46151</v>
      </c>
      <c r="I7" s="8">
        <v>1706.94</v>
      </c>
      <c r="J7" s="32"/>
    </row>
    <row r="8" spans="1:10" x14ac:dyDescent="0.25">
      <c r="A8" s="26" t="s">
        <v>149</v>
      </c>
      <c r="B8" s="6">
        <v>46155</v>
      </c>
      <c r="C8" s="7" t="s">
        <v>162</v>
      </c>
      <c r="D8" s="8">
        <v>724.02</v>
      </c>
      <c r="E8" s="32"/>
      <c r="G8" s="5" t="s">
        <v>155</v>
      </c>
      <c r="H8" s="6">
        <v>46151</v>
      </c>
      <c r="I8" s="8">
        <v>2658.77</v>
      </c>
      <c r="J8" s="34"/>
    </row>
    <row r="9" spans="1:10" x14ac:dyDescent="0.25">
      <c r="A9" s="26" t="s">
        <v>148</v>
      </c>
      <c r="B9" s="6">
        <v>46160</v>
      </c>
      <c r="C9" s="7" t="s">
        <v>163</v>
      </c>
      <c r="D9" s="8">
        <v>2464</v>
      </c>
      <c r="E9" s="32"/>
      <c r="G9" s="5" t="s">
        <v>34</v>
      </c>
      <c r="H9" s="6">
        <v>46155</v>
      </c>
      <c r="I9" s="24">
        <v>2136.02</v>
      </c>
      <c r="J9" s="32"/>
    </row>
    <row r="10" spans="1:10" x14ac:dyDescent="0.25">
      <c r="A10" s="26" t="s">
        <v>147</v>
      </c>
      <c r="B10" s="6">
        <v>46161</v>
      </c>
      <c r="C10" s="7" t="s">
        <v>164</v>
      </c>
      <c r="D10" s="8">
        <v>1100.9000000000001</v>
      </c>
      <c r="E10" s="32"/>
      <c r="G10" s="5" t="s">
        <v>37</v>
      </c>
      <c r="H10" s="6">
        <v>46156</v>
      </c>
      <c r="I10" s="8">
        <v>3346.96</v>
      </c>
      <c r="J10" s="32"/>
    </row>
    <row r="11" spans="1:10" x14ac:dyDescent="0.25">
      <c r="A11" s="52" t="s">
        <v>146</v>
      </c>
      <c r="B11" s="28">
        <v>46164</v>
      </c>
      <c r="C11" s="29" t="s">
        <v>165</v>
      </c>
      <c r="D11" s="30">
        <v>1965.57</v>
      </c>
      <c r="E11" s="4"/>
      <c r="G11" s="5" t="s">
        <v>50</v>
      </c>
      <c r="H11" s="6">
        <v>46162</v>
      </c>
      <c r="I11" s="8">
        <v>4503</v>
      </c>
      <c r="J11" s="32"/>
    </row>
    <row r="12" spans="1:10" x14ac:dyDescent="0.25">
      <c r="A12" s="52" t="s">
        <v>158</v>
      </c>
      <c r="B12" s="28">
        <v>46168</v>
      </c>
      <c r="C12" s="27" t="s">
        <v>166</v>
      </c>
      <c r="D12" s="30">
        <v>1854.9</v>
      </c>
      <c r="E12" s="4"/>
      <c r="G12" s="5" t="s">
        <v>44</v>
      </c>
      <c r="H12" s="6">
        <v>46163</v>
      </c>
      <c r="I12" s="24">
        <v>3087</v>
      </c>
      <c r="J12" s="4"/>
    </row>
    <row r="13" spans="1:10" x14ac:dyDescent="0.25">
      <c r="A13" s="12" t="s">
        <v>108</v>
      </c>
      <c r="B13" s="4"/>
      <c r="C13" s="4"/>
      <c r="D13" s="48">
        <f>SUM(D3:D12)</f>
        <v>17736.150000000001</v>
      </c>
      <c r="E13" s="4"/>
      <c r="G13" s="5" t="s">
        <v>49</v>
      </c>
      <c r="H13" s="6">
        <v>46165</v>
      </c>
      <c r="I13" s="24">
        <v>522.83000000000004</v>
      </c>
      <c r="J13" s="4"/>
    </row>
    <row r="14" spans="1:10" x14ac:dyDescent="0.25">
      <c r="A14" s="41"/>
      <c r="B14" s="47"/>
      <c r="C14" s="47"/>
      <c r="D14" s="50"/>
      <c r="E14" s="47"/>
      <c r="G14" s="5" t="s">
        <v>51</v>
      </c>
      <c r="H14" s="6">
        <v>46167</v>
      </c>
      <c r="I14" s="8">
        <v>2240</v>
      </c>
      <c r="J14" s="4"/>
    </row>
    <row r="15" spans="1:10" x14ac:dyDescent="0.25">
      <c r="A15" s="41"/>
      <c r="G15" s="5" t="s">
        <v>109</v>
      </c>
      <c r="H15" s="6"/>
      <c r="I15" s="8">
        <f>SUM(I3:I14)</f>
        <v>26671.500000000004</v>
      </c>
      <c r="J15" s="4"/>
    </row>
    <row r="16" spans="1:10" x14ac:dyDescent="0.25">
      <c r="A16" s="92" t="s">
        <v>169</v>
      </c>
      <c r="B16" s="93"/>
      <c r="C16" s="94"/>
      <c r="D16" s="4"/>
      <c r="G16" s="47"/>
      <c r="H16" s="47"/>
      <c r="I16" s="47"/>
      <c r="J16" s="47"/>
    </row>
    <row r="17" spans="1:10" x14ac:dyDescent="0.25">
      <c r="A17" s="3" t="s">
        <v>4</v>
      </c>
      <c r="B17" s="3" t="s">
        <v>5</v>
      </c>
      <c r="C17" s="3" t="s">
        <v>3</v>
      </c>
      <c r="D17" s="3" t="s">
        <v>6</v>
      </c>
      <c r="G17" s="89" t="s">
        <v>168</v>
      </c>
      <c r="H17" s="90"/>
      <c r="I17" s="90"/>
      <c r="J17" s="66"/>
    </row>
    <row r="18" spans="1:10" x14ac:dyDescent="0.25">
      <c r="A18" s="5" t="s">
        <v>9</v>
      </c>
      <c r="B18" s="6">
        <v>46143</v>
      </c>
      <c r="C18" s="9">
        <v>158.43</v>
      </c>
      <c r="D18" s="4"/>
      <c r="G18" s="2" t="s">
        <v>0</v>
      </c>
      <c r="H18" s="2" t="s">
        <v>1</v>
      </c>
      <c r="I18" s="2" t="s">
        <v>3</v>
      </c>
      <c r="J18" s="31" t="s">
        <v>6</v>
      </c>
    </row>
    <row r="19" spans="1:10" x14ac:dyDescent="0.25">
      <c r="A19" s="14" t="s">
        <v>92</v>
      </c>
      <c r="B19" s="15">
        <v>46149</v>
      </c>
      <c r="C19" s="38">
        <v>200</v>
      </c>
      <c r="D19" s="42"/>
      <c r="E19" s="43"/>
      <c r="G19" s="5" t="s">
        <v>27</v>
      </c>
      <c r="H19" s="6">
        <v>46152</v>
      </c>
      <c r="I19" s="18">
        <v>9.9</v>
      </c>
      <c r="J19" s="8"/>
    </row>
    <row r="20" spans="1:10" x14ac:dyDescent="0.25">
      <c r="A20" s="5" t="s">
        <v>22</v>
      </c>
      <c r="B20" s="6">
        <v>46150</v>
      </c>
      <c r="C20" s="18">
        <v>3700</v>
      </c>
      <c r="D20" s="8"/>
      <c r="G20" s="5" t="s">
        <v>31</v>
      </c>
      <c r="H20" s="6">
        <v>46152</v>
      </c>
      <c r="I20" s="18">
        <v>508.6</v>
      </c>
      <c r="J20" s="24"/>
    </row>
    <row r="21" spans="1:10" x14ac:dyDescent="0.25">
      <c r="A21" s="5" t="s">
        <v>10</v>
      </c>
      <c r="B21" s="6">
        <v>46152</v>
      </c>
      <c r="C21" s="9">
        <v>192.86</v>
      </c>
      <c r="D21" s="4"/>
      <c r="G21" s="12" t="s">
        <v>39</v>
      </c>
      <c r="H21" s="6">
        <v>46152</v>
      </c>
      <c r="I21" s="18">
        <v>135.5</v>
      </c>
      <c r="J21" s="8"/>
    </row>
    <row r="22" spans="1:10" x14ac:dyDescent="0.25">
      <c r="A22" s="5" t="s">
        <v>67</v>
      </c>
      <c r="B22" s="6">
        <v>46152</v>
      </c>
      <c r="C22" s="10">
        <v>191.59</v>
      </c>
      <c r="D22" s="4"/>
      <c r="G22" s="5" t="s">
        <v>43</v>
      </c>
      <c r="H22" s="6">
        <v>46159</v>
      </c>
      <c r="I22" s="18">
        <v>514.95000000000005</v>
      </c>
      <c r="J22" s="8"/>
    </row>
    <row r="23" spans="1:10" x14ac:dyDescent="0.25">
      <c r="A23" s="5" t="s">
        <v>13</v>
      </c>
      <c r="B23" s="6">
        <v>46152</v>
      </c>
      <c r="C23" s="11">
        <v>292.35000000000002</v>
      </c>
      <c r="D23" s="4"/>
      <c r="G23" s="5" t="s">
        <v>103</v>
      </c>
      <c r="H23" s="6">
        <v>46162</v>
      </c>
      <c r="I23" s="18">
        <v>299</v>
      </c>
      <c r="J23" s="8"/>
    </row>
    <row r="24" spans="1:10" x14ac:dyDescent="0.25">
      <c r="A24" s="5" t="s">
        <v>15</v>
      </c>
      <c r="B24" s="6">
        <v>46152</v>
      </c>
      <c r="C24" s="11">
        <v>80</v>
      </c>
      <c r="D24" s="4"/>
      <c r="G24" s="4" t="s">
        <v>102</v>
      </c>
      <c r="H24" s="4"/>
      <c r="I24" s="46">
        <v>1000</v>
      </c>
      <c r="J24" s="4"/>
    </row>
    <row r="25" spans="1:10" x14ac:dyDescent="0.25">
      <c r="A25" s="14" t="s">
        <v>90</v>
      </c>
      <c r="B25" s="15">
        <v>46157</v>
      </c>
      <c r="C25" s="16">
        <v>472</v>
      </c>
      <c r="D25" s="17"/>
      <c r="G25" s="12" t="s">
        <v>109</v>
      </c>
      <c r="H25" s="4"/>
      <c r="I25" s="48">
        <f>SUM(I19:I24)</f>
        <v>2467.9499999999998</v>
      </c>
      <c r="J25" s="4"/>
    </row>
    <row r="26" spans="1:10" x14ac:dyDescent="0.25">
      <c r="A26" s="5" t="s">
        <v>91</v>
      </c>
      <c r="B26" s="6">
        <v>46157</v>
      </c>
      <c r="C26" s="9">
        <v>116</v>
      </c>
      <c r="D26" s="4"/>
    </row>
    <row r="27" spans="1:10" x14ac:dyDescent="0.25">
      <c r="A27" s="5" t="s">
        <v>23</v>
      </c>
      <c r="B27" s="6">
        <v>46163</v>
      </c>
      <c r="C27" s="13">
        <v>180</v>
      </c>
      <c r="D27" s="4"/>
    </row>
    <row r="28" spans="1:10" x14ac:dyDescent="0.25">
      <c r="A28" s="12" t="s">
        <v>18</v>
      </c>
      <c r="B28" s="6">
        <v>46170</v>
      </c>
      <c r="C28" s="13">
        <v>80</v>
      </c>
      <c r="D28" s="4"/>
    </row>
    <row r="29" spans="1:10" x14ac:dyDescent="0.25">
      <c r="A29" s="12" t="s">
        <v>247</v>
      </c>
      <c r="B29" s="6">
        <v>46170</v>
      </c>
      <c r="C29" s="13">
        <v>5000</v>
      </c>
      <c r="D29" s="4"/>
    </row>
    <row r="30" spans="1:10" x14ac:dyDescent="0.25">
      <c r="A30" s="5" t="s">
        <v>25</v>
      </c>
      <c r="B30" s="6">
        <v>46141</v>
      </c>
      <c r="C30" s="18">
        <v>1503.91</v>
      </c>
      <c r="D30" s="4"/>
    </row>
    <row r="31" spans="1:10" x14ac:dyDescent="0.25">
      <c r="A31" s="12" t="s">
        <v>109</v>
      </c>
      <c r="B31" s="4"/>
      <c r="C31" s="62">
        <f>SUM(C18:C30)</f>
        <v>12167.14</v>
      </c>
      <c r="D31" s="4"/>
    </row>
    <row r="32" spans="1:10" x14ac:dyDescent="0.25">
      <c r="A32" s="49"/>
      <c r="B32" s="47"/>
      <c r="C32" s="47"/>
      <c r="D32" s="47"/>
    </row>
    <row r="34" spans="1:11" x14ac:dyDescent="0.25">
      <c r="A34" s="90" t="s">
        <v>172</v>
      </c>
      <c r="B34" s="90"/>
      <c r="C34" s="90"/>
      <c r="D34" s="4"/>
      <c r="F34" s="43"/>
      <c r="G34" s="90" t="s">
        <v>173</v>
      </c>
      <c r="H34" s="90"/>
      <c r="I34" s="90"/>
      <c r="J34" s="4"/>
    </row>
    <row r="35" spans="1:11" x14ac:dyDescent="0.25">
      <c r="A35" s="3" t="s">
        <v>4</v>
      </c>
      <c r="B35" s="3" t="s">
        <v>5</v>
      </c>
      <c r="C35" s="3" t="s">
        <v>3</v>
      </c>
      <c r="D35" s="3" t="s">
        <v>6</v>
      </c>
      <c r="G35" s="3" t="s">
        <v>4</v>
      </c>
      <c r="H35" s="3" t="s">
        <v>5</v>
      </c>
      <c r="I35" s="3" t="s">
        <v>3</v>
      </c>
      <c r="J35" s="3" t="s">
        <v>6</v>
      </c>
      <c r="K35" s="43"/>
    </row>
    <row r="36" spans="1:11" x14ac:dyDescent="0.25">
      <c r="A36" s="5" t="s">
        <v>86</v>
      </c>
      <c r="B36" s="6">
        <v>46152</v>
      </c>
      <c r="C36" s="18">
        <v>414.97</v>
      </c>
      <c r="D36" s="24"/>
      <c r="G36" s="5" t="s">
        <v>121</v>
      </c>
      <c r="H36" s="6">
        <v>46162</v>
      </c>
      <c r="I36" s="18">
        <v>460.28</v>
      </c>
      <c r="J36" s="24"/>
    </row>
    <row r="37" spans="1:11" x14ac:dyDescent="0.25">
      <c r="A37" s="5" t="s">
        <v>88</v>
      </c>
      <c r="B37" s="6">
        <v>46162</v>
      </c>
      <c r="C37" s="18">
        <v>443.73</v>
      </c>
      <c r="D37" s="8"/>
      <c r="G37" s="5" t="s">
        <v>122</v>
      </c>
      <c r="H37" s="6">
        <v>46162</v>
      </c>
      <c r="I37" s="18">
        <v>242.23</v>
      </c>
      <c r="J37" s="8"/>
    </row>
    <row r="38" spans="1:11" x14ac:dyDescent="0.25">
      <c r="A38" s="12" t="s">
        <v>94</v>
      </c>
      <c r="B38" s="28">
        <v>46162</v>
      </c>
      <c r="C38" s="71">
        <v>500</v>
      </c>
      <c r="D38" s="35"/>
      <c r="G38" s="12" t="s">
        <v>123</v>
      </c>
      <c r="H38" s="28">
        <v>46162</v>
      </c>
      <c r="I38" s="46">
        <v>300</v>
      </c>
      <c r="J38" s="35"/>
    </row>
    <row r="39" spans="1:11" x14ac:dyDescent="0.25">
      <c r="A39" s="5" t="s">
        <v>87</v>
      </c>
      <c r="B39" s="6">
        <v>46162</v>
      </c>
      <c r="C39" s="63">
        <v>443.97</v>
      </c>
      <c r="D39" s="8"/>
      <c r="G39" s="5" t="s">
        <v>109</v>
      </c>
      <c r="H39" s="6"/>
      <c r="I39" s="8">
        <f>SUM(I36:I38)</f>
        <v>1002.51</v>
      </c>
      <c r="J39" s="4"/>
    </row>
    <row r="40" spans="1:11" x14ac:dyDescent="0.25">
      <c r="A40" s="5" t="s">
        <v>104</v>
      </c>
      <c r="B40" s="6">
        <v>46162</v>
      </c>
      <c r="C40" s="63">
        <v>136.08000000000001</v>
      </c>
      <c r="D40" s="8"/>
    </row>
    <row r="41" spans="1:11" x14ac:dyDescent="0.25">
      <c r="A41" s="5" t="s">
        <v>119</v>
      </c>
      <c r="B41" s="6">
        <v>46162</v>
      </c>
      <c r="C41" s="63">
        <v>787.34</v>
      </c>
      <c r="D41" s="8"/>
    </row>
    <row r="42" spans="1:11" x14ac:dyDescent="0.25">
      <c r="A42" s="5" t="s">
        <v>175</v>
      </c>
      <c r="B42" s="6">
        <v>46162</v>
      </c>
      <c r="C42" s="63">
        <v>587.62</v>
      </c>
      <c r="D42" s="8"/>
    </row>
    <row r="43" spans="1:11" x14ac:dyDescent="0.25">
      <c r="A43" s="5" t="s">
        <v>118</v>
      </c>
      <c r="B43" s="6">
        <v>46172</v>
      </c>
      <c r="C43" s="63">
        <v>280.06</v>
      </c>
      <c r="D43" s="8"/>
    </row>
    <row r="44" spans="1:11" x14ac:dyDescent="0.25">
      <c r="A44" s="5" t="s">
        <v>128</v>
      </c>
      <c r="B44" s="6"/>
      <c r="C44" s="70">
        <f>SUM(C36:C43)</f>
        <v>3593.77</v>
      </c>
      <c r="D44" s="8"/>
    </row>
    <row r="46" spans="1:11" x14ac:dyDescent="0.25">
      <c r="A46" s="44" t="s">
        <v>28</v>
      </c>
      <c r="B46" s="44" t="s">
        <v>29</v>
      </c>
      <c r="C46" s="44" t="s">
        <v>30</v>
      </c>
      <c r="D46" s="3" t="s">
        <v>6</v>
      </c>
    </row>
    <row r="47" spans="1:11" x14ac:dyDescent="0.25">
      <c r="A47" s="66" t="s">
        <v>32</v>
      </c>
      <c r="B47" s="4"/>
      <c r="C47" s="26"/>
      <c r="D47" s="8"/>
    </row>
    <row r="48" spans="1:11" x14ac:dyDescent="0.25">
      <c r="A48" s="66" t="s">
        <v>68</v>
      </c>
      <c r="B48" s="26"/>
      <c r="C48" s="26"/>
      <c r="D48" s="24"/>
    </row>
    <row r="49" spans="1:4" x14ac:dyDescent="0.25">
      <c r="A49" s="66" t="s">
        <v>36</v>
      </c>
      <c r="B49" s="26"/>
      <c r="C49" s="26"/>
      <c r="D49" s="35"/>
    </row>
    <row r="50" spans="1:4" x14ac:dyDescent="0.25">
      <c r="A50" s="66" t="s">
        <v>93</v>
      </c>
      <c r="B50" s="6"/>
      <c r="C50" s="7"/>
      <c r="D50" s="24"/>
    </row>
    <row r="52" spans="1:4" x14ac:dyDescent="0.25">
      <c r="A52" s="51" t="s">
        <v>109</v>
      </c>
    </row>
  </sheetData>
  <mergeCells count="6">
    <mergeCell ref="G34:I34"/>
    <mergeCell ref="A1:C1"/>
    <mergeCell ref="G1:I1"/>
    <mergeCell ref="A16:C16"/>
    <mergeCell ref="G17:I17"/>
    <mergeCell ref="A34:C34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opLeftCell="A22" workbookViewId="0">
      <selection activeCell="A29" sqref="A29"/>
    </sheetView>
  </sheetViews>
  <sheetFormatPr defaultRowHeight="15" x14ac:dyDescent="0.25"/>
  <cols>
    <col min="1" max="1" width="22.7109375" customWidth="1"/>
    <col min="2" max="2" width="11.28515625" customWidth="1"/>
    <col min="3" max="3" width="13.42578125" customWidth="1"/>
    <col min="4" max="4" width="13.85546875" customWidth="1"/>
    <col min="7" max="7" width="22.5703125" customWidth="1"/>
    <col min="8" max="8" width="12.28515625" customWidth="1"/>
    <col min="9" max="9" width="14" customWidth="1"/>
    <col min="10" max="10" width="10.7109375" bestFit="1" customWidth="1"/>
  </cols>
  <sheetData>
    <row r="1" spans="1:10" x14ac:dyDescent="0.25">
      <c r="A1" s="89" t="s">
        <v>176</v>
      </c>
      <c r="B1" s="90"/>
      <c r="C1" s="90"/>
      <c r="D1" s="68"/>
      <c r="E1" s="69"/>
      <c r="G1" s="89" t="s">
        <v>184</v>
      </c>
      <c r="H1" s="90"/>
      <c r="I1" s="90"/>
      <c r="J1" s="68"/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31" t="s">
        <v>6</v>
      </c>
      <c r="G2" s="2" t="s">
        <v>0</v>
      </c>
      <c r="H2" s="2" t="s">
        <v>1</v>
      </c>
      <c r="I2" s="2" t="s">
        <v>3</v>
      </c>
      <c r="J2" s="31" t="s">
        <v>6</v>
      </c>
    </row>
    <row r="3" spans="1:10" x14ac:dyDescent="0.25">
      <c r="A3" s="26" t="s">
        <v>152</v>
      </c>
      <c r="B3" s="6">
        <v>46174</v>
      </c>
      <c r="C3" s="7" t="s">
        <v>144</v>
      </c>
      <c r="D3" s="8">
        <v>1481.32</v>
      </c>
      <c r="E3" s="32"/>
      <c r="G3" s="5" t="s">
        <v>11</v>
      </c>
      <c r="H3" s="6">
        <v>46175</v>
      </c>
      <c r="I3" s="8">
        <v>1619.85</v>
      </c>
      <c r="J3" s="32"/>
    </row>
    <row r="4" spans="1:10" x14ac:dyDescent="0.25">
      <c r="A4" s="26" t="s">
        <v>153</v>
      </c>
      <c r="B4" s="6">
        <v>46177</v>
      </c>
      <c r="C4" s="7" t="s">
        <v>185</v>
      </c>
      <c r="D4" s="8">
        <v>2440</v>
      </c>
      <c r="E4" s="32"/>
      <c r="G4" s="5" t="s">
        <v>167</v>
      </c>
      <c r="H4" s="6">
        <v>46176</v>
      </c>
      <c r="I4" s="8">
        <v>1753.43</v>
      </c>
      <c r="J4" s="32"/>
    </row>
    <row r="5" spans="1:10" x14ac:dyDescent="0.25">
      <c r="A5" s="26" t="s">
        <v>151</v>
      </c>
      <c r="B5" s="6">
        <v>46179</v>
      </c>
      <c r="C5" s="7" t="s">
        <v>177</v>
      </c>
      <c r="D5" s="8">
        <v>1571</v>
      </c>
      <c r="E5" s="32"/>
      <c r="G5" s="5" t="s">
        <v>12</v>
      </c>
      <c r="H5" s="6">
        <v>46176</v>
      </c>
      <c r="I5" s="8">
        <v>1813.45</v>
      </c>
      <c r="J5" s="32"/>
    </row>
    <row r="6" spans="1:10" x14ac:dyDescent="0.25">
      <c r="A6" s="52" t="s">
        <v>154</v>
      </c>
      <c r="B6" s="45">
        <v>46179</v>
      </c>
      <c r="C6" s="27" t="s">
        <v>178</v>
      </c>
      <c r="D6" s="35">
        <v>821.19</v>
      </c>
      <c r="E6" s="4"/>
      <c r="G6" s="5" t="s">
        <v>14</v>
      </c>
      <c r="H6" s="6">
        <v>46176</v>
      </c>
      <c r="I6" s="8">
        <v>281.24</v>
      </c>
      <c r="J6" s="32"/>
    </row>
    <row r="7" spans="1:10" x14ac:dyDescent="0.25">
      <c r="A7" s="26" t="s">
        <v>150</v>
      </c>
      <c r="B7" s="6">
        <v>46179</v>
      </c>
      <c r="C7" s="7" t="s">
        <v>141</v>
      </c>
      <c r="D7" s="8">
        <v>3313.25</v>
      </c>
      <c r="E7" s="32"/>
      <c r="G7" s="5" t="s">
        <v>24</v>
      </c>
      <c r="H7" s="6">
        <v>46182</v>
      </c>
      <c r="I7" s="8">
        <v>1807.16</v>
      </c>
      <c r="J7" s="32"/>
    </row>
    <row r="8" spans="1:10" x14ac:dyDescent="0.25">
      <c r="A8" s="26" t="s">
        <v>149</v>
      </c>
      <c r="B8" s="6">
        <v>46186</v>
      </c>
      <c r="C8" s="7" t="s">
        <v>179</v>
      </c>
      <c r="D8" s="8">
        <v>724.02</v>
      </c>
      <c r="E8" s="32"/>
      <c r="G8" s="5" t="s">
        <v>155</v>
      </c>
      <c r="H8" s="6">
        <v>46182</v>
      </c>
      <c r="I8" s="8">
        <v>2463.75</v>
      </c>
      <c r="J8" s="34"/>
    </row>
    <row r="9" spans="1:10" x14ac:dyDescent="0.25">
      <c r="A9" s="26" t="s">
        <v>148</v>
      </c>
      <c r="B9" s="6">
        <v>46191</v>
      </c>
      <c r="C9" s="7" t="s">
        <v>180</v>
      </c>
      <c r="D9" s="8">
        <v>2464</v>
      </c>
      <c r="E9" s="32"/>
      <c r="G9" s="5" t="s">
        <v>34</v>
      </c>
      <c r="H9" s="6">
        <v>46186</v>
      </c>
      <c r="I9" s="24">
        <v>5213.16</v>
      </c>
      <c r="J9" s="32"/>
    </row>
    <row r="10" spans="1:10" x14ac:dyDescent="0.25">
      <c r="A10" s="26" t="s">
        <v>147</v>
      </c>
      <c r="B10" s="6">
        <v>46192</v>
      </c>
      <c r="C10" s="7" t="s">
        <v>181</v>
      </c>
      <c r="D10" s="8">
        <v>1100.9000000000001</v>
      </c>
      <c r="E10" s="32"/>
      <c r="G10" s="5" t="s">
        <v>37</v>
      </c>
      <c r="H10" s="6">
        <v>46187</v>
      </c>
      <c r="I10" s="8">
        <v>2851.43</v>
      </c>
      <c r="J10" s="32"/>
    </row>
    <row r="11" spans="1:10" x14ac:dyDescent="0.25">
      <c r="A11" s="26" t="s">
        <v>187</v>
      </c>
      <c r="B11" s="6">
        <v>46193</v>
      </c>
      <c r="C11" s="7" t="s">
        <v>188</v>
      </c>
      <c r="D11" s="8">
        <v>1258.4000000000001</v>
      </c>
      <c r="E11" s="32"/>
      <c r="G11" s="5" t="s">
        <v>50</v>
      </c>
      <c r="H11" s="6">
        <v>46193</v>
      </c>
      <c r="I11" s="8">
        <v>5598.37</v>
      </c>
      <c r="J11" s="32"/>
    </row>
    <row r="12" spans="1:10" x14ac:dyDescent="0.25">
      <c r="A12" s="52" t="s">
        <v>146</v>
      </c>
      <c r="B12" s="28">
        <v>46193</v>
      </c>
      <c r="C12" s="29" t="s">
        <v>182</v>
      </c>
      <c r="D12" s="30">
        <v>1965.57</v>
      </c>
      <c r="E12" s="4"/>
      <c r="G12" s="5" t="s">
        <v>44</v>
      </c>
      <c r="H12" s="6">
        <v>46194</v>
      </c>
      <c r="I12" s="24">
        <v>3625.4</v>
      </c>
      <c r="J12" s="4"/>
    </row>
    <row r="13" spans="1:10" x14ac:dyDescent="0.25">
      <c r="A13" s="52" t="s">
        <v>158</v>
      </c>
      <c r="B13" s="28">
        <v>46199</v>
      </c>
      <c r="C13" s="27" t="s">
        <v>183</v>
      </c>
      <c r="D13" s="30">
        <v>1854.9</v>
      </c>
      <c r="E13" s="4"/>
      <c r="G13" s="5" t="s">
        <v>49</v>
      </c>
      <c r="H13" s="6">
        <v>46196</v>
      </c>
      <c r="I13" s="24">
        <v>260</v>
      </c>
      <c r="J13" s="4"/>
    </row>
    <row r="14" spans="1:10" x14ac:dyDescent="0.25">
      <c r="A14" s="12" t="s">
        <v>108</v>
      </c>
      <c r="B14" s="4"/>
      <c r="C14" s="4"/>
      <c r="D14" s="48">
        <f>SUM(D3:D13)</f>
        <v>18994.550000000003</v>
      </c>
      <c r="E14" s="4"/>
      <c r="G14" s="5" t="s">
        <v>51</v>
      </c>
      <c r="H14" s="6">
        <v>46198</v>
      </c>
      <c r="I14" s="8">
        <v>3152.39</v>
      </c>
      <c r="J14" s="4"/>
    </row>
    <row r="15" spans="1:10" x14ac:dyDescent="0.25">
      <c r="A15" s="41"/>
      <c r="B15" s="47"/>
      <c r="C15" s="47"/>
      <c r="D15" s="50"/>
      <c r="E15" s="47"/>
      <c r="G15" s="5" t="s">
        <v>109</v>
      </c>
      <c r="H15" s="6"/>
      <c r="I15" s="8">
        <f>SUM(I3:I14)</f>
        <v>30439.629999999997</v>
      </c>
      <c r="J15" s="4"/>
    </row>
    <row r="16" spans="1:10" x14ac:dyDescent="0.25">
      <c r="A16" s="41"/>
      <c r="G16" s="47"/>
      <c r="H16" s="47"/>
      <c r="I16" s="47"/>
      <c r="J16" s="47"/>
    </row>
    <row r="17" spans="1:10" x14ac:dyDescent="0.25">
      <c r="A17" s="92" t="s">
        <v>169</v>
      </c>
      <c r="B17" s="93"/>
      <c r="C17" s="94"/>
      <c r="D17" s="4"/>
      <c r="G17" s="89" t="s">
        <v>168</v>
      </c>
      <c r="H17" s="90"/>
      <c r="I17" s="90"/>
      <c r="J17" s="68"/>
    </row>
    <row r="18" spans="1:10" x14ac:dyDescent="0.25">
      <c r="A18" s="3" t="s">
        <v>4</v>
      </c>
      <c r="B18" s="3" t="s">
        <v>5</v>
      </c>
      <c r="C18" s="3" t="s">
        <v>3</v>
      </c>
      <c r="D18" s="3" t="s">
        <v>6</v>
      </c>
      <c r="G18" s="2" t="s">
        <v>0</v>
      </c>
      <c r="H18" s="2" t="s">
        <v>1</v>
      </c>
      <c r="I18" s="2" t="s">
        <v>3</v>
      </c>
      <c r="J18" s="31" t="s">
        <v>6</v>
      </c>
    </row>
    <row r="19" spans="1:10" x14ac:dyDescent="0.25">
      <c r="A19" s="5" t="s">
        <v>9</v>
      </c>
      <c r="B19" s="6">
        <v>46174</v>
      </c>
      <c r="C19" s="9">
        <v>185.26</v>
      </c>
      <c r="D19" s="4"/>
      <c r="G19" s="5" t="s">
        <v>27</v>
      </c>
      <c r="H19" s="6">
        <v>46183</v>
      </c>
      <c r="I19" s="18">
        <v>9.9</v>
      </c>
      <c r="J19" s="8"/>
    </row>
    <row r="20" spans="1:10" x14ac:dyDescent="0.25">
      <c r="A20" s="14" t="s">
        <v>92</v>
      </c>
      <c r="B20" s="15">
        <v>46180</v>
      </c>
      <c r="C20" s="38">
        <v>200</v>
      </c>
      <c r="D20" s="42"/>
      <c r="E20" s="43"/>
      <c r="G20" s="5" t="s">
        <v>31</v>
      </c>
      <c r="H20" s="6">
        <v>46183</v>
      </c>
      <c r="I20" s="18">
        <v>342.1</v>
      </c>
      <c r="J20" s="24"/>
    </row>
    <row r="21" spans="1:10" x14ac:dyDescent="0.25">
      <c r="A21" s="5" t="s">
        <v>22</v>
      </c>
      <c r="B21" s="6">
        <v>46181</v>
      </c>
      <c r="C21" s="18">
        <v>3700</v>
      </c>
      <c r="D21" s="8"/>
      <c r="G21" s="12" t="s">
        <v>39</v>
      </c>
      <c r="H21" s="6">
        <v>46183</v>
      </c>
      <c r="I21" s="18">
        <v>135.5</v>
      </c>
      <c r="J21" s="8"/>
    </row>
    <row r="22" spans="1:10" x14ac:dyDescent="0.25">
      <c r="A22" s="5" t="s">
        <v>10</v>
      </c>
      <c r="B22" s="6">
        <v>46183</v>
      </c>
      <c r="C22" s="9">
        <v>250.46</v>
      </c>
      <c r="D22" s="4"/>
      <c r="G22" s="5" t="s">
        <v>43</v>
      </c>
      <c r="H22" s="6">
        <v>46190</v>
      </c>
      <c r="I22" s="18">
        <v>514.95000000000005</v>
      </c>
      <c r="J22" s="8"/>
    </row>
    <row r="23" spans="1:10" x14ac:dyDescent="0.25">
      <c r="A23" s="5" t="s">
        <v>67</v>
      </c>
      <c r="B23" s="6">
        <v>46183</v>
      </c>
      <c r="C23" s="10">
        <v>236.85</v>
      </c>
      <c r="D23" s="4"/>
      <c r="G23" s="5" t="s">
        <v>103</v>
      </c>
      <c r="H23" s="6">
        <v>46162</v>
      </c>
      <c r="I23" s="18">
        <v>799</v>
      </c>
      <c r="J23" s="8"/>
    </row>
    <row r="24" spans="1:10" x14ac:dyDescent="0.25">
      <c r="A24" s="5" t="s">
        <v>13</v>
      </c>
      <c r="B24" s="6">
        <v>46183</v>
      </c>
      <c r="C24" s="11">
        <v>281.23</v>
      </c>
      <c r="D24" s="4"/>
      <c r="G24" s="4" t="s">
        <v>102</v>
      </c>
      <c r="H24" s="4"/>
      <c r="I24" s="46">
        <v>1000</v>
      </c>
      <c r="J24" s="4"/>
    </row>
    <row r="25" spans="1:10" x14ac:dyDescent="0.25">
      <c r="A25" s="5" t="s">
        <v>15</v>
      </c>
      <c r="B25" s="6">
        <v>46183</v>
      </c>
      <c r="C25" s="11">
        <v>80</v>
      </c>
      <c r="D25" s="4"/>
      <c r="G25" s="12" t="s">
        <v>109</v>
      </c>
      <c r="H25" s="4"/>
      <c r="I25" s="48">
        <f>SUM(I19:I24)</f>
        <v>2801.45</v>
      </c>
      <c r="J25" s="4"/>
    </row>
    <row r="26" spans="1:10" x14ac:dyDescent="0.25">
      <c r="A26" s="14" t="s">
        <v>90</v>
      </c>
      <c r="B26" s="15">
        <v>46188</v>
      </c>
      <c r="C26" s="16">
        <v>472</v>
      </c>
      <c r="D26" s="17"/>
    </row>
    <row r="27" spans="1:10" x14ac:dyDescent="0.25">
      <c r="A27" s="5" t="s">
        <v>91</v>
      </c>
      <c r="B27" s="6">
        <v>46188</v>
      </c>
      <c r="C27" s="9">
        <v>116.89</v>
      </c>
      <c r="D27" s="4"/>
      <c r="G27" s="4" t="s">
        <v>189</v>
      </c>
      <c r="H27" s="4">
        <v>1</v>
      </c>
      <c r="I27" s="46">
        <v>279</v>
      </c>
      <c r="J27" s="74">
        <v>46203</v>
      </c>
    </row>
    <row r="28" spans="1:10" x14ac:dyDescent="0.25">
      <c r="A28" s="5" t="s">
        <v>23</v>
      </c>
      <c r="B28" s="6">
        <v>46194</v>
      </c>
      <c r="C28" s="13">
        <v>180</v>
      </c>
      <c r="D28" s="4"/>
      <c r="G28" s="4"/>
      <c r="H28" s="4">
        <v>2</v>
      </c>
      <c r="I28" s="46">
        <v>279</v>
      </c>
      <c r="J28" s="74">
        <v>46217</v>
      </c>
    </row>
    <row r="29" spans="1:10" x14ac:dyDescent="0.25">
      <c r="A29" s="5" t="s">
        <v>174</v>
      </c>
      <c r="B29" s="6">
        <v>46201</v>
      </c>
      <c r="C29" s="13">
        <v>5000</v>
      </c>
      <c r="D29" s="4"/>
    </row>
    <row r="30" spans="1:10" x14ac:dyDescent="0.25">
      <c r="A30" s="12" t="s">
        <v>18</v>
      </c>
      <c r="B30" s="6">
        <v>46201</v>
      </c>
      <c r="C30" s="13">
        <v>80</v>
      </c>
      <c r="D30" s="4"/>
    </row>
    <row r="31" spans="1:10" x14ac:dyDescent="0.25">
      <c r="A31" s="5" t="s">
        <v>25</v>
      </c>
      <c r="B31" s="6">
        <v>46202</v>
      </c>
      <c r="C31" s="18">
        <v>1652.79</v>
      </c>
      <c r="D31" s="4"/>
    </row>
    <row r="32" spans="1:10" x14ac:dyDescent="0.25">
      <c r="A32" s="12" t="s">
        <v>109</v>
      </c>
      <c r="B32" s="4"/>
      <c r="C32" s="62">
        <f>SUM(C19:C31)</f>
        <v>12435.480000000003</v>
      </c>
      <c r="D32" s="4"/>
    </row>
    <row r="33" spans="1:11" x14ac:dyDescent="0.25">
      <c r="A33" s="49"/>
      <c r="B33" s="47"/>
      <c r="C33" s="47"/>
      <c r="D33" s="47"/>
    </row>
    <row r="34" spans="1:11" x14ac:dyDescent="0.25">
      <c r="A34" s="49"/>
      <c r="B34" s="47"/>
      <c r="C34" s="47"/>
      <c r="D34" s="47"/>
    </row>
    <row r="35" spans="1:11" x14ac:dyDescent="0.25">
      <c r="F35" s="43"/>
      <c r="G35" s="90" t="s">
        <v>173</v>
      </c>
      <c r="H35" s="90"/>
      <c r="I35" s="90"/>
      <c r="J35" s="4"/>
      <c r="K35" s="43"/>
    </row>
    <row r="36" spans="1:11" x14ac:dyDescent="0.25">
      <c r="A36" s="90" t="s">
        <v>172</v>
      </c>
      <c r="B36" s="90"/>
      <c r="C36" s="90"/>
      <c r="D36" s="4"/>
      <c r="G36" s="3" t="s">
        <v>4</v>
      </c>
      <c r="H36" s="3" t="s">
        <v>5</v>
      </c>
      <c r="I36" s="3" t="s">
        <v>3</v>
      </c>
      <c r="J36" s="3" t="s">
        <v>6</v>
      </c>
    </row>
    <row r="37" spans="1:11" x14ac:dyDescent="0.25">
      <c r="A37" s="3" t="s">
        <v>4</v>
      </c>
      <c r="B37" s="3" t="s">
        <v>5</v>
      </c>
      <c r="C37" s="3" t="s">
        <v>3</v>
      </c>
      <c r="D37" s="3" t="s">
        <v>6</v>
      </c>
      <c r="G37" s="5" t="s">
        <v>121</v>
      </c>
      <c r="H37" s="6">
        <v>46193</v>
      </c>
      <c r="I37" s="18">
        <v>447.31</v>
      </c>
      <c r="J37" s="24"/>
    </row>
    <row r="38" spans="1:11" x14ac:dyDescent="0.25">
      <c r="A38" s="5" t="s">
        <v>86</v>
      </c>
      <c r="B38" s="6">
        <v>46183</v>
      </c>
      <c r="C38" s="18">
        <v>382.01</v>
      </c>
      <c r="D38" s="24"/>
      <c r="G38" s="5" t="s">
        <v>175</v>
      </c>
      <c r="H38" s="6">
        <v>46193</v>
      </c>
      <c r="I38" s="18">
        <v>230.07</v>
      </c>
      <c r="J38" s="8"/>
    </row>
    <row r="39" spans="1:11" x14ac:dyDescent="0.25">
      <c r="A39" s="5" t="s">
        <v>88</v>
      </c>
      <c r="B39" s="6">
        <v>46193</v>
      </c>
      <c r="C39" s="18">
        <v>439.47</v>
      </c>
      <c r="D39" s="8"/>
      <c r="G39" s="12" t="s">
        <v>123</v>
      </c>
      <c r="H39" s="28">
        <v>46193</v>
      </c>
      <c r="I39" s="46">
        <v>300</v>
      </c>
      <c r="J39" s="35"/>
    </row>
    <row r="40" spans="1:11" x14ac:dyDescent="0.25">
      <c r="A40" s="12" t="s">
        <v>94</v>
      </c>
      <c r="B40" s="28">
        <v>46193</v>
      </c>
      <c r="C40" s="46">
        <v>500</v>
      </c>
      <c r="D40" s="35"/>
      <c r="G40" s="5" t="s">
        <v>109</v>
      </c>
      <c r="H40" s="6"/>
      <c r="I40" s="8">
        <f>SUM(I37:I39)</f>
        <v>977.38</v>
      </c>
      <c r="J40" s="4"/>
    </row>
    <row r="41" spans="1:11" x14ac:dyDescent="0.25">
      <c r="A41" s="5" t="s">
        <v>87</v>
      </c>
      <c r="B41" s="6">
        <v>46193</v>
      </c>
      <c r="C41" s="18">
        <v>366.73</v>
      </c>
      <c r="D41" s="8"/>
    </row>
    <row r="42" spans="1:11" x14ac:dyDescent="0.25">
      <c r="A42" s="5" t="s">
        <v>104</v>
      </c>
      <c r="B42" s="6">
        <v>46193</v>
      </c>
      <c r="C42" s="18">
        <v>136.08000000000001</v>
      </c>
      <c r="D42" s="8"/>
    </row>
    <row r="43" spans="1:11" x14ac:dyDescent="0.25">
      <c r="A43" s="5" t="s">
        <v>119</v>
      </c>
      <c r="B43" s="6">
        <v>46193</v>
      </c>
      <c r="C43" s="18">
        <v>787.34</v>
      </c>
      <c r="D43" s="8"/>
    </row>
    <row r="44" spans="1:11" x14ac:dyDescent="0.25">
      <c r="A44" s="5" t="s">
        <v>175</v>
      </c>
      <c r="B44" s="6">
        <v>46193</v>
      </c>
      <c r="C44" s="18">
        <v>584.62</v>
      </c>
      <c r="D44" s="8"/>
    </row>
    <row r="45" spans="1:11" x14ac:dyDescent="0.25">
      <c r="A45" s="5" t="s">
        <v>118</v>
      </c>
      <c r="B45" s="6">
        <v>46203</v>
      </c>
      <c r="C45" s="18">
        <v>220.04</v>
      </c>
      <c r="D45" s="8"/>
    </row>
    <row r="46" spans="1:11" x14ac:dyDescent="0.25">
      <c r="A46" s="5" t="s">
        <v>128</v>
      </c>
      <c r="B46" s="6"/>
      <c r="C46" s="70">
        <f>SUM(C38:C45)</f>
        <v>3416.29</v>
      </c>
      <c r="D46" s="8"/>
    </row>
    <row r="48" spans="1:11" x14ac:dyDescent="0.25">
      <c r="A48" s="44" t="s">
        <v>28</v>
      </c>
      <c r="B48" s="44" t="s">
        <v>29</v>
      </c>
      <c r="C48" s="44" t="s">
        <v>30</v>
      </c>
      <c r="D48" s="3" t="s">
        <v>6</v>
      </c>
      <c r="E48" t="s">
        <v>186</v>
      </c>
    </row>
    <row r="49" spans="1:4" x14ac:dyDescent="0.25">
      <c r="A49" s="68" t="s">
        <v>32</v>
      </c>
      <c r="B49" s="4"/>
      <c r="C49" s="26"/>
      <c r="D49" s="8"/>
    </row>
    <row r="50" spans="1:4" x14ac:dyDescent="0.25">
      <c r="A50" s="68" t="s">
        <v>68</v>
      </c>
      <c r="B50" s="26"/>
      <c r="C50" s="26"/>
      <c r="D50" s="24"/>
    </row>
    <row r="51" spans="1:4" x14ac:dyDescent="0.25">
      <c r="A51" s="68" t="s">
        <v>36</v>
      </c>
      <c r="B51" s="26"/>
      <c r="C51" s="26"/>
      <c r="D51" s="35"/>
    </row>
    <row r="52" spans="1:4" x14ac:dyDescent="0.25">
      <c r="A52" s="68" t="s">
        <v>93</v>
      </c>
      <c r="B52" s="6"/>
      <c r="C52" s="7"/>
      <c r="D52" s="24"/>
    </row>
    <row r="54" spans="1:4" x14ac:dyDescent="0.25">
      <c r="A54" s="51" t="s">
        <v>109</v>
      </c>
    </row>
  </sheetData>
  <mergeCells count="6">
    <mergeCell ref="A36:C36"/>
    <mergeCell ref="G35:I35"/>
    <mergeCell ref="A1:C1"/>
    <mergeCell ref="G1:I1"/>
    <mergeCell ref="A17:C17"/>
    <mergeCell ref="G17:I17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opLeftCell="A22" workbookViewId="0">
      <selection activeCell="A29" sqref="A29"/>
    </sheetView>
  </sheetViews>
  <sheetFormatPr defaultRowHeight="15" x14ac:dyDescent="0.25"/>
  <cols>
    <col min="1" max="1" width="21.42578125" customWidth="1"/>
    <col min="2" max="2" width="11.7109375" customWidth="1"/>
    <col min="3" max="3" width="13.42578125" customWidth="1"/>
    <col min="4" max="4" width="13.140625" customWidth="1"/>
    <col min="5" max="5" width="7.42578125" customWidth="1"/>
    <col min="7" max="7" width="23.140625" customWidth="1"/>
    <col min="8" max="8" width="11.85546875" customWidth="1"/>
    <col min="9" max="9" width="14.28515625" customWidth="1"/>
    <col min="10" max="10" width="10.7109375" customWidth="1"/>
  </cols>
  <sheetData>
    <row r="1" spans="1:10" x14ac:dyDescent="0.25">
      <c r="A1" s="89" t="s">
        <v>191</v>
      </c>
      <c r="B1" s="90"/>
      <c r="C1" s="90"/>
      <c r="D1" s="72"/>
      <c r="E1" s="73"/>
      <c r="G1" s="89" t="s">
        <v>200</v>
      </c>
      <c r="H1" s="90"/>
      <c r="I1" s="90"/>
      <c r="J1" s="72"/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31" t="s">
        <v>6</v>
      </c>
      <c r="G2" s="2" t="s">
        <v>0</v>
      </c>
      <c r="H2" s="2" t="s">
        <v>1</v>
      </c>
      <c r="I2" s="2" t="s">
        <v>3</v>
      </c>
      <c r="J2" s="31" t="s">
        <v>6</v>
      </c>
    </row>
    <row r="3" spans="1:10" x14ac:dyDescent="0.25">
      <c r="A3" s="26" t="s">
        <v>152</v>
      </c>
      <c r="B3" s="6">
        <v>46204</v>
      </c>
      <c r="C3" s="7" t="s">
        <v>192</v>
      </c>
      <c r="D3" s="8">
        <v>1481.32</v>
      </c>
      <c r="E3" s="32"/>
      <c r="G3" s="5" t="s">
        <v>11</v>
      </c>
      <c r="H3" s="6">
        <v>46205</v>
      </c>
      <c r="I3" s="8">
        <v>1060.4100000000001</v>
      </c>
      <c r="J3" s="32"/>
    </row>
    <row r="4" spans="1:10" x14ac:dyDescent="0.25">
      <c r="A4" s="26" t="s">
        <v>153</v>
      </c>
      <c r="B4" s="6">
        <v>46207</v>
      </c>
      <c r="C4" s="7" t="s">
        <v>193</v>
      </c>
      <c r="D4" s="8">
        <v>2440</v>
      </c>
      <c r="E4" s="32"/>
      <c r="G4" s="5" t="s">
        <v>167</v>
      </c>
      <c r="H4" s="6">
        <v>46206</v>
      </c>
      <c r="I4" s="8">
        <v>957.07</v>
      </c>
      <c r="J4" s="32"/>
    </row>
    <row r="5" spans="1:10" x14ac:dyDescent="0.25">
      <c r="A5" s="26" t="s">
        <v>151</v>
      </c>
      <c r="B5" s="6">
        <v>46209</v>
      </c>
      <c r="C5" s="7" t="s">
        <v>205</v>
      </c>
      <c r="D5" s="8">
        <v>1571</v>
      </c>
      <c r="E5" s="32"/>
      <c r="G5" s="5" t="s">
        <v>12</v>
      </c>
      <c r="H5" s="6">
        <v>46206</v>
      </c>
      <c r="I5" s="8">
        <v>2327.71</v>
      </c>
      <c r="J5" s="32"/>
    </row>
    <row r="6" spans="1:10" x14ac:dyDescent="0.25">
      <c r="A6" s="52" t="s">
        <v>154</v>
      </c>
      <c r="B6" s="45">
        <v>46209</v>
      </c>
      <c r="C6" s="27" t="s">
        <v>194</v>
      </c>
      <c r="D6" s="35">
        <v>821.19</v>
      </c>
      <c r="E6" s="4"/>
      <c r="G6" s="5" t="s">
        <v>14</v>
      </c>
      <c r="H6" s="6">
        <v>46206</v>
      </c>
      <c r="I6" s="8">
        <v>1054.54</v>
      </c>
      <c r="J6" s="32"/>
    </row>
    <row r="7" spans="1:10" x14ac:dyDescent="0.25">
      <c r="A7" s="26" t="s">
        <v>150</v>
      </c>
      <c r="B7" s="6">
        <v>46209</v>
      </c>
      <c r="C7" s="7" t="s">
        <v>163</v>
      </c>
      <c r="D7" s="8">
        <v>3313.25</v>
      </c>
      <c r="E7" s="32"/>
      <c r="G7" s="5" t="s">
        <v>24</v>
      </c>
      <c r="H7" s="6">
        <v>46212</v>
      </c>
      <c r="I7" s="8">
        <v>1446.83</v>
      </c>
      <c r="J7" s="32"/>
    </row>
    <row r="8" spans="1:10" x14ac:dyDescent="0.25">
      <c r="A8" s="26" t="s">
        <v>149</v>
      </c>
      <c r="B8" s="6">
        <v>46216</v>
      </c>
      <c r="C8" s="7" t="s">
        <v>98</v>
      </c>
      <c r="D8" s="8">
        <v>724.02</v>
      </c>
      <c r="E8" s="32"/>
      <c r="G8" s="5" t="s">
        <v>155</v>
      </c>
      <c r="H8" s="6">
        <v>46212</v>
      </c>
      <c r="I8" s="8">
        <v>1508.1</v>
      </c>
      <c r="J8" s="34"/>
    </row>
    <row r="9" spans="1:10" x14ac:dyDescent="0.25">
      <c r="A9" s="26" t="s">
        <v>148</v>
      </c>
      <c r="B9" s="6">
        <v>46221</v>
      </c>
      <c r="C9" s="7" t="s">
        <v>195</v>
      </c>
      <c r="D9" s="8">
        <v>2464</v>
      </c>
      <c r="E9" s="32"/>
      <c r="G9" s="5" t="s">
        <v>34</v>
      </c>
      <c r="H9" s="6">
        <v>46216</v>
      </c>
      <c r="I9" s="24">
        <v>1073.82</v>
      </c>
      <c r="J9" s="32"/>
    </row>
    <row r="10" spans="1:10" x14ac:dyDescent="0.25">
      <c r="A10" s="26" t="s">
        <v>147</v>
      </c>
      <c r="B10" s="6">
        <v>46222</v>
      </c>
      <c r="C10" s="7" t="s">
        <v>196</v>
      </c>
      <c r="D10" s="8">
        <v>1100.9000000000001</v>
      </c>
      <c r="E10" s="32"/>
      <c r="G10" s="5" t="s">
        <v>37</v>
      </c>
      <c r="H10" s="6">
        <v>46217</v>
      </c>
      <c r="I10" s="8">
        <v>1599.19</v>
      </c>
      <c r="J10" s="32"/>
    </row>
    <row r="11" spans="1:10" x14ac:dyDescent="0.25">
      <c r="A11" s="26" t="s">
        <v>187</v>
      </c>
      <c r="B11" s="6">
        <v>46223</v>
      </c>
      <c r="C11" s="7" t="s">
        <v>197</v>
      </c>
      <c r="D11" s="8">
        <v>1258.4000000000001</v>
      </c>
      <c r="E11" s="32"/>
      <c r="G11" s="5" t="s">
        <v>50</v>
      </c>
      <c r="H11" s="6">
        <v>46223</v>
      </c>
      <c r="I11" s="8">
        <v>4885.24</v>
      </c>
      <c r="J11" s="32"/>
    </row>
    <row r="12" spans="1:10" x14ac:dyDescent="0.25">
      <c r="A12" s="52" t="s">
        <v>146</v>
      </c>
      <c r="B12" s="28">
        <v>46223</v>
      </c>
      <c r="C12" s="29" t="s">
        <v>198</v>
      </c>
      <c r="D12" s="30">
        <v>1965.57</v>
      </c>
      <c r="E12" s="4"/>
      <c r="G12" s="5" t="s">
        <v>44</v>
      </c>
      <c r="H12" s="6">
        <v>46224</v>
      </c>
      <c r="I12" s="24">
        <v>4138.08</v>
      </c>
      <c r="J12" s="4"/>
    </row>
    <row r="13" spans="1:10" x14ac:dyDescent="0.25">
      <c r="A13" s="52" t="s">
        <v>158</v>
      </c>
      <c r="B13" s="28">
        <v>46229</v>
      </c>
      <c r="C13" s="27" t="s">
        <v>199</v>
      </c>
      <c r="D13" s="30">
        <v>1854.9</v>
      </c>
      <c r="E13" s="4"/>
      <c r="G13" s="5" t="s">
        <v>49</v>
      </c>
      <c r="H13" s="6">
        <v>46226</v>
      </c>
      <c r="I13" s="24">
        <v>0</v>
      </c>
      <c r="J13" s="4"/>
    </row>
    <row r="14" spans="1:10" x14ac:dyDescent="0.25">
      <c r="A14" s="12" t="s">
        <v>108</v>
      </c>
      <c r="B14" s="4"/>
      <c r="C14" s="4"/>
      <c r="D14" s="48">
        <f>SUM(D3:D13)</f>
        <v>18994.550000000003</v>
      </c>
      <c r="E14" s="4"/>
      <c r="G14" s="5" t="s">
        <v>51</v>
      </c>
      <c r="H14" s="6">
        <v>46228</v>
      </c>
      <c r="I14" s="8">
        <v>6265</v>
      </c>
      <c r="J14" s="4"/>
    </row>
    <row r="15" spans="1:10" x14ac:dyDescent="0.25">
      <c r="A15" s="41"/>
      <c r="B15" s="47"/>
      <c r="C15" s="47"/>
      <c r="D15" s="50"/>
      <c r="E15" s="47"/>
      <c r="G15" s="5" t="s">
        <v>109</v>
      </c>
      <c r="H15" s="6"/>
      <c r="I15" s="8">
        <f>SUM(I3:I14)</f>
        <v>26315.989999999998</v>
      </c>
      <c r="J15" s="4"/>
    </row>
    <row r="16" spans="1:10" x14ac:dyDescent="0.25">
      <c r="A16" s="92" t="s">
        <v>201</v>
      </c>
      <c r="B16" s="93"/>
      <c r="C16" s="94"/>
      <c r="D16" s="4"/>
      <c r="G16" s="47"/>
      <c r="H16" s="47"/>
      <c r="I16" s="47"/>
      <c r="J16" s="47"/>
    </row>
    <row r="17" spans="1:10" x14ac:dyDescent="0.25">
      <c r="A17" s="3" t="s">
        <v>4</v>
      </c>
      <c r="B17" s="3" t="s">
        <v>5</v>
      </c>
      <c r="C17" s="3" t="s">
        <v>3</v>
      </c>
      <c r="D17" s="3" t="s">
        <v>6</v>
      </c>
      <c r="G17" s="89" t="s">
        <v>202</v>
      </c>
      <c r="H17" s="90"/>
      <c r="I17" s="90"/>
      <c r="J17" s="72"/>
    </row>
    <row r="18" spans="1:10" x14ac:dyDescent="0.25">
      <c r="A18" s="5" t="s">
        <v>9</v>
      </c>
      <c r="B18" s="6">
        <v>46204</v>
      </c>
      <c r="C18" s="9">
        <v>185.2</v>
      </c>
      <c r="D18" s="4"/>
      <c r="G18" s="2" t="s">
        <v>0</v>
      </c>
      <c r="H18" s="2" t="s">
        <v>1</v>
      </c>
      <c r="I18" s="2" t="s">
        <v>3</v>
      </c>
      <c r="J18" s="31" t="s">
        <v>6</v>
      </c>
    </row>
    <row r="19" spans="1:10" x14ac:dyDescent="0.25">
      <c r="A19" s="14" t="s">
        <v>92</v>
      </c>
      <c r="B19" s="15">
        <v>46210</v>
      </c>
      <c r="C19" s="38">
        <v>200</v>
      </c>
      <c r="D19" s="42"/>
      <c r="E19" s="43"/>
      <c r="G19" s="5" t="s">
        <v>27</v>
      </c>
      <c r="H19" s="6">
        <v>46213</v>
      </c>
      <c r="I19" s="18">
        <v>0</v>
      </c>
      <c r="J19" s="8"/>
    </row>
    <row r="20" spans="1:10" x14ac:dyDescent="0.25">
      <c r="A20" s="5" t="s">
        <v>22</v>
      </c>
      <c r="B20" s="6">
        <v>46211</v>
      </c>
      <c r="C20" s="18">
        <v>3700</v>
      </c>
      <c r="D20" s="8"/>
      <c r="G20" s="5" t="s">
        <v>31</v>
      </c>
      <c r="H20" s="6">
        <v>46213</v>
      </c>
      <c r="I20" s="18">
        <v>337.23</v>
      </c>
      <c r="J20" s="24"/>
    </row>
    <row r="21" spans="1:10" x14ac:dyDescent="0.25">
      <c r="A21" s="5" t="s">
        <v>10</v>
      </c>
      <c r="B21" s="6">
        <v>46213</v>
      </c>
      <c r="C21" s="9">
        <v>271.75</v>
      </c>
      <c r="D21" s="4"/>
      <c r="G21" s="12" t="s">
        <v>39</v>
      </c>
      <c r="H21" s="6">
        <v>46213</v>
      </c>
      <c r="I21" s="18">
        <v>135.5</v>
      </c>
      <c r="J21" s="8"/>
    </row>
    <row r="22" spans="1:10" x14ac:dyDescent="0.25">
      <c r="A22" s="5" t="s">
        <v>67</v>
      </c>
      <c r="B22" s="6">
        <v>46213</v>
      </c>
      <c r="C22" s="10">
        <v>271.8</v>
      </c>
      <c r="D22" s="4"/>
      <c r="G22" s="12" t="s">
        <v>207</v>
      </c>
      <c r="H22" s="6">
        <v>46219</v>
      </c>
      <c r="I22" s="18">
        <v>59.8</v>
      </c>
      <c r="J22" s="8"/>
    </row>
    <row r="23" spans="1:10" x14ac:dyDescent="0.25">
      <c r="A23" s="5" t="s">
        <v>13</v>
      </c>
      <c r="B23" s="6">
        <v>46213</v>
      </c>
      <c r="C23" s="11">
        <v>215.61</v>
      </c>
      <c r="D23" s="4"/>
      <c r="G23" s="5" t="s">
        <v>43</v>
      </c>
      <c r="H23" s="6">
        <v>46220</v>
      </c>
      <c r="I23" s="18">
        <v>711.14</v>
      </c>
      <c r="J23" s="8"/>
    </row>
    <row r="24" spans="1:10" x14ac:dyDescent="0.25">
      <c r="A24" s="5" t="s">
        <v>15</v>
      </c>
      <c r="B24" s="6">
        <v>46213</v>
      </c>
      <c r="C24" s="11">
        <v>80</v>
      </c>
      <c r="D24" s="4"/>
      <c r="G24" s="5" t="s">
        <v>103</v>
      </c>
      <c r="H24" s="6">
        <v>46223</v>
      </c>
      <c r="I24" s="18">
        <v>800</v>
      </c>
      <c r="J24" s="8"/>
    </row>
    <row r="25" spans="1:10" x14ac:dyDescent="0.25">
      <c r="A25" s="14" t="s">
        <v>90</v>
      </c>
      <c r="B25" s="15">
        <v>46218</v>
      </c>
      <c r="C25" s="16">
        <v>472</v>
      </c>
      <c r="D25" s="17"/>
      <c r="G25" s="4" t="s">
        <v>102</v>
      </c>
      <c r="H25" s="4"/>
      <c r="I25" s="46">
        <v>890</v>
      </c>
      <c r="J25" s="4"/>
    </row>
    <row r="26" spans="1:10" x14ac:dyDescent="0.25">
      <c r="A26" s="5" t="s">
        <v>91</v>
      </c>
      <c r="B26" s="6">
        <v>46218</v>
      </c>
      <c r="C26" s="9">
        <v>116.89</v>
      </c>
      <c r="D26" s="4"/>
      <c r="G26" s="4" t="s">
        <v>209</v>
      </c>
      <c r="H26" s="4"/>
      <c r="I26" s="46">
        <v>560.07000000000005</v>
      </c>
      <c r="J26" s="4"/>
    </row>
    <row r="27" spans="1:10" x14ac:dyDescent="0.25">
      <c r="A27" s="5" t="s">
        <v>206</v>
      </c>
      <c r="B27" s="6">
        <v>46223</v>
      </c>
      <c r="C27" s="9">
        <v>72.64</v>
      </c>
      <c r="D27" s="4"/>
      <c r="G27" s="4" t="s">
        <v>208</v>
      </c>
      <c r="H27" s="4"/>
      <c r="I27" s="46">
        <v>369.89</v>
      </c>
      <c r="J27" s="4"/>
    </row>
    <row r="28" spans="1:10" x14ac:dyDescent="0.25">
      <c r="A28" s="5" t="s">
        <v>23</v>
      </c>
      <c r="B28" s="6">
        <v>46224</v>
      </c>
      <c r="C28" s="13">
        <v>180</v>
      </c>
      <c r="D28" s="4"/>
      <c r="G28" s="4"/>
      <c r="H28" s="4"/>
      <c r="I28" s="46"/>
      <c r="J28" s="4"/>
    </row>
    <row r="29" spans="1:10" x14ac:dyDescent="0.25">
      <c r="A29" s="5" t="s">
        <v>190</v>
      </c>
      <c r="B29" s="6">
        <v>46231</v>
      </c>
      <c r="C29" s="13">
        <v>5000</v>
      </c>
      <c r="D29" s="4"/>
      <c r="G29" s="12" t="s">
        <v>109</v>
      </c>
      <c r="H29" s="4"/>
      <c r="I29" s="48">
        <f>SUM(I19:I28)</f>
        <v>3863.63</v>
      </c>
      <c r="J29" s="4"/>
    </row>
    <row r="30" spans="1:10" x14ac:dyDescent="0.25">
      <c r="A30" s="12" t="s">
        <v>18</v>
      </c>
      <c r="B30" s="6">
        <v>46231</v>
      </c>
      <c r="C30" s="13">
        <v>90</v>
      </c>
      <c r="D30" s="4"/>
    </row>
    <row r="31" spans="1:10" x14ac:dyDescent="0.25">
      <c r="A31" s="5" t="s">
        <v>25</v>
      </c>
      <c r="B31" s="6">
        <v>46232</v>
      </c>
      <c r="C31" s="18">
        <v>1652.79</v>
      </c>
      <c r="D31" s="4"/>
      <c r="G31" s="4" t="s">
        <v>189</v>
      </c>
      <c r="H31" s="4">
        <v>1</v>
      </c>
      <c r="I31" s="46">
        <v>279</v>
      </c>
      <c r="J31" s="74">
        <v>46203</v>
      </c>
    </row>
    <row r="32" spans="1:10" x14ac:dyDescent="0.25">
      <c r="A32" s="12" t="s">
        <v>109</v>
      </c>
      <c r="B32" s="4"/>
      <c r="C32" s="62">
        <f>SUM(C18:C31)</f>
        <v>12508.68</v>
      </c>
      <c r="D32" s="4"/>
      <c r="G32" s="4"/>
      <c r="H32" s="4">
        <v>2</v>
      </c>
      <c r="I32" s="46">
        <v>279</v>
      </c>
      <c r="J32" s="74">
        <v>46217</v>
      </c>
    </row>
    <row r="33" spans="1:10" x14ac:dyDescent="0.25">
      <c r="A33" s="75" t="s">
        <v>210</v>
      </c>
      <c r="B33" s="47"/>
      <c r="C33" s="47"/>
      <c r="D33" s="47"/>
    </row>
    <row r="34" spans="1:10" x14ac:dyDescent="0.25">
      <c r="A34" s="49"/>
      <c r="B34" s="47"/>
      <c r="C34" s="47"/>
      <c r="D34" s="47"/>
    </row>
    <row r="35" spans="1:10" x14ac:dyDescent="0.25">
      <c r="F35" s="43"/>
    </row>
    <row r="36" spans="1:10" x14ac:dyDescent="0.25">
      <c r="A36" s="90" t="s">
        <v>203</v>
      </c>
      <c r="B36" s="90"/>
      <c r="C36" s="90"/>
      <c r="D36" s="4"/>
    </row>
    <row r="37" spans="1:10" x14ac:dyDescent="0.25">
      <c r="A37" s="3" t="s">
        <v>4</v>
      </c>
      <c r="B37" s="3" t="s">
        <v>5</v>
      </c>
      <c r="C37" s="3" t="s">
        <v>3</v>
      </c>
      <c r="D37" s="3" t="s">
        <v>6</v>
      </c>
    </row>
    <row r="38" spans="1:10" x14ac:dyDescent="0.25">
      <c r="A38" s="5" t="s">
        <v>214</v>
      </c>
      <c r="B38" s="6">
        <v>46213</v>
      </c>
      <c r="C38" s="18">
        <v>474.54</v>
      </c>
      <c r="D38" s="24"/>
    </row>
    <row r="39" spans="1:10" x14ac:dyDescent="0.25">
      <c r="A39" s="5" t="s">
        <v>211</v>
      </c>
      <c r="B39" s="6">
        <v>46223</v>
      </c>
      <c r="C39" s="18">
        <v>79.37</v>
      </c>
      <c r="D39" s="8"/>
      <c r="G39" s="90" t="s">
        <v>204</v>
      </c>
      <c r="H39" s="90"/>
      <c r="I39" s="90"/>
      <c r="J39" s="4"/>
    </row>
    <row r="40" spans="1:10" x14ac:dyDescent="0.25">
      <c r="A40" s="12" t="s">
        <v>94</v>
      </c>
      <c r="B40" s="28">
        <v>46223</v>
      </c>
      <c r="C40" s="46">
        <v>500</v>
      </c>
      <c r="D40" s="35"/>
      <c r="G40" s="3" t="s">
        <v>4</v>
      </c>
      <c r="H40" s="3" t="s">
        <v>5</v>
      </c>
      <c r="I40" s="3" t="s">
        <v>3</v>
      </c>
      <c r="J40" s="3" t="s">
        <v>6</v>
      </c>
    </row>
    <row r="41" spans="1:10" x14ac:dyDescent="0.25">
      <c r="A41" s="5" t="s">
        <v>212</v>
      </c>
      <c r="B41" s="6">
        <v>46223</v>
      </c>
      <c r="C41" s="18">
        <v>366.34</v>
      </c>
      <c r="D41" s="8"/>
      <c r="G41" s="5" t="s">
        <v>121</v>
      </c>
      <c r="H41" s="6">
        <v>46223</v>
      </c>
      <c r="I41" s="18">
        <v>330</v>
      </c>
      <c r="J41" s="24"/>
    </row>
    <row r="42" spans="1:10" x14ac:dyDescent="0.25">
      <c r="A42" s="5" t="s">
        <v>104</v>
      </c>
      <c r="B42" s="6">
        <v>46223</v>
      </c>
      <c r="C42" s="18">
        <v>136.08000000000001</v>
      </c>
      <c r="D42" s="8"/>
      <c r="G42" s="5" t="s">
        <v>175</v>
      </c>
      <c r="H42" s="6">
        <v>46223</v>
      </c>
      <c r="I42" s="18">
        <v>283.19</v>
      </c>
      <c r="J42" s="8"/>
    </row>
    <row r="43" spans="1:10" x14ac:dyDescent="0.25">
      <c r="A43" s="5" t="s">
        <v>119</v>
      </c>
      <c r="B43" s="6">
        <v>46223</v>
      </c>
      <c r="C43" s="18">
        <v>787.34</v>
      </c>
      <c r="D43" s="8"/>
      <c r="G43" s="12" t="s">
        <v>123</v>
      </c>
      <c r="H43" s="28">
        <v>46223</v>
      </c>
      <c r="I43" s="46">
        <v>300</v>
      </c>
      <c r="J43" s="35"/>
    </row>
    <row r="44" spans="1:10" x14ac:dyDescent="0.25">
      <c r="A44" s="5" t="s">
        <v>175</v>
      </c>
      <c r="B44" s="6">
        <v>46223</v>
      </c>
      <c r="C44" s="18">
        <v>584.62</v>
      </c>
      <c r="D44" s="8"/>
      <c r="G44" s="5" t="s">
        <v>109</v>
      </c>
      <c r="H44" s="6"/>
      <c r="I44" s="8">
        <f>SUM(I41:I43)</f>
        <v>913.19</v>
      </c>
      <c r="J44" s="4"/>
    </row>
    <row r="45" spans="1:10" x14ac:dyDescent="0.25">
      <c r="A45" s="5" t="s">
        <v>118</v>
      </c>
      <c r="B45" s="6">
        <v>46233</v>
      </c>
      <c r="C45" s="18">
        <v>295.89</v>
      </c>
      <c r="D45" s="8"/>
    </row>
    <row r="46" spans="1:10" x14ac:dyDescent="0.25">
      <c r="A46" s="5" t="s">
        <v>128</v>
      </c>
      <c r="B46" s="6"/>
      <c r="C46" s="70">
        <f>SUM(C38:C45)</f>
        <v>3224.18</v>
      </c>
      <c r="D46" s="8"/>
    </row>
    <row r="47" spans="1:10" x14ac:dyDescent="0.25">
      <c r="E47" t="s">
        <v>186</v>
      </c>
    </row>
    <row r="48" spans="1:10" x14ac:dyDescent="0.25">
      <c r="A48" s="44" t="s">
        <v>28</v>
      </c>
      <c r="B48" s="44" t="s">
        <v>29</v>
      </c>
      <c r="C48" s="44" t="s">
        <v>30</v>
      </c>
      <c r="D48" s="3" t="s">
        <v>6</v>
      </c>
    </row>
    <row r="49" spans="1:4" x14ac:dyDescent="0.25">
      <c r="A49" s="72" t="s">
        <v>32</v>
      </c>
      <c r="B49" s="4"/>
      <c r="C49" s="26"/>
      <c r="D49" s="8"/>
    </row>
    <row r="50" spans="1:4" x14ac:dyDescent="0.25">
      <c r="A50" s="72" t="s">
        <v>213</v>
      </c>
      <c r="B50" s="26"/>
      <c r="C50" s="26"/>
      <c r="D50" s="24"/>
    </row>
    <row r="51" spans="1:4" x14ac:dyDescent="0.25">
      <c r="A51" s="72" t="s">
        <v>36</v>
      </c>
      <c r="B51" s="26"/>
      <c r="C51" s="26"/>
      <c r="D51" s="35"/>
    </row>
    <row r="52" spans="1:4" x14ac:dyDescent="0.25">
      <c r="A52" s="72" t="s">
        <v>93</v>
      </c>
      <c r="B52" s="6"/>
      <c r="C52" s="7"/>
      <c r="D52" s="24"/>
    </row>
  </sheetData>
  <mergeCells count="6">
    <mergeCell ref="G39:I39"/>
    <mergeCell ref="A36:C36"/>
    <mergeCell ref="A1:C1"/>
    <mergeCell ref="G1:I1"/>
    <mergeCell ref="A16:C16"/>
    <mergeCell ref="G17:I17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opLeftCell="A25" workbookViewId="0">
      <selection activeCell="A27" sqref="A27"/>
    </sheetView>
  </sheetViews>
  <sheetFormatPr defaultRowHeight="15" x14ac:dyDescent="0.25"/>
  <cols>
    <col min="1" max="1" width="21.42578125" customWidth="1"/>
    <col min="2" max="2" width="11.5703125" customWidth="1"/>
    <col min="3" max="3" width="13.42578125" customWidth="1"/>
    <col min="4" max="4" width="13" customWidth="1"/>
    <col min="6" max="6" width="3" customWidth="1"/>
    <col min="7" max="7" width="23.140625" customWidth="1"/>
    <col min="8" max="8" width="12.140625" customWidth="1"/>
    <col min="9" max="9" width="16.140625" customWidth="1"/>
    <col min="10" max="10" width="13.5703125" customWidth="1"/>
  </cols>
  <sheetData>
    <row r="1" spans="1:10" x14ac:dyDescent="0.25">
      <c r="A1" s="89" t="s">
        <v>227</v>
      </c>
      <c r="B1" s="90"/>
      <c r="C1" s="90"/>
      <c r="D1" s="76"/>
      <c r="E1" s="77"/>
      <c r="G1" s="89" t="s">
        <v>226</v>
      </c>
      <c r="H1" s="90"/>
      <c r="I1" s="90"/>
      <c r="J1" s="76"/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31" t="s">
        <v>6</v>
      </c>
      <c r="G2" s="2" t="s">
        <v>0</v>
      </c>
      <c r="H2" s="2" t="s">
        <v>1</v>
      </c>
      <c r="I2" s="2" t="s">
        <v>3</v>
      </c>
      <c r="J2" s="31" t="s">
        <v>6</v>
      </c>
    </row>
    <row r="3" spans="1:10" x14ac:dyDescent="0.25">
      <c r="A3" s="26" t="s">
        <v>153</v>
      </c>
      <c r="B3" s="6">
        <v>46238</v>
      </c>
      <c r="C3" s="7" t="s">
        <v>215</v>
      </c>
      <c r="D3" s="8">
        <v>2440</v>
      </c>
      <c r="E3" s="32"/>
      <c r="G3" s="5" t="s">
        <v>11</v>
      </c>
      <c r="H3" s="6">
        <v>46236</v>
      </c>
      <c r="I3" s="8">
        <v>1667.53</v>
      </c>
      <c r="J3" s="32"/>
    </row>
    <row r="4" spans="1:10" x14ac:dyDescent="0.25">
      <c r="A4" s="26" t="s">
        <v>151</v>
      </c>
      <c r="B4" s="6">
        <v>46240</v>
      </c>
      <c r="C4" s="7" t="s">
        <v>216</v>
      </c>
      <c r="D4" s="8">
        <v>1571</v>
      </c>
      <c r="E4" s="32"/>
      <c r="G4" s="5" t="s">
        <v>167</v>
      </c>
      <c r="H4" s="6">
        <v>46237</v>
      </c>
      <c r="I4" s="8">
        <v>310</v>
      </c>
      <c r="J4" s="32"/>
    </row>
    <row r="5" spans="1:10" x14ac:dyDescent="0.25">
      <c r="A5" s="26" t="s">
        <v>150</v>
      </c>
      <c r="B5" s="6">
        <v>46240</v>
      </c>
      <c r="C5" s="7" t="s">
        <v>96</v>
      </c>
      <c r="D5" s="8">
        <v>3313.25</v>
      </c>
      <c r="E5" s="32"/>
      <c r="G5" s="5" t="s">
        <v>12</v>
      </c>
      <c r="H5" s="6">
        <v>46237</v>
      </c>
      <c r="I5" s="8">
        <v>2449.46</v>
      </c>
      <c r="J5" s="32"/>
    </row>
    <row r="6" spans="1:10" x14ac:dyDescent="0.25">
      <c r="A6" s="26" t="s">
        <v>149</v>
      </c>
      <c r="B6" s="6">
        <v>46247</v>
      </c>
      <c r="C6" s="7" t="s">
        <v>144</v>
      </c>
      <c r="D6" s="8">
        <v>724.02</v>
      </c>
      <c r="E6" s="32"/>
      <c r="G6" s="5" t="s">
        <v>14</v>
      </c>
      <c r="H6" s="6">
        <v>46237</v>
      </c>
      <c r="I6" s="8">
        <v>1778.96</v>
      </c>
      <c r="J6" s="32"/>
    </row>
    <row r="7" spans="1:10" x14ac:dyDescent="0.25">
      <c r="A7" s="26" t="s">
        <v>148</v>
      </c>
      <c r="B7" s="6">
        <v>46252</v>
      </c>
      <c r="C7" s="7" t="s">
        <v>217</v>
      </c>
      <c r="D7" s="8">
        <v>2464</v>
      </c>
      <c r="E7" s="32"/>
      <c r="G7" s="5" t="s">
        <v>24</v>
      </c>
      <c r="H7" s="6">
        <v>46243</v>
      </c>
      <c r="I7" s="8">
        <v>463</v>
      </c>
      <c r="J7" s="32"/>
    </row>
    <row r="8" spans="1:10" x14ac:dyDescent="0.25">
      <c r="A8" s="26" t="s">
        <v>147</v>
      </c>
      <c r="B8" s="6">
        <v>46253</v>
      </c>
      <c r="C8" s="7" t="s">
        <v>218</v>
      </c>
      <c r="D8" s="8">
        <v>1100.9000000000001</v>
      </c>
      <c r="E8" s="32"/>
      <c r="G8" s="5" t="s">
        <v>155</v>
      </c>
      <c r="H8" s="6">
        <v>46243</v>
      </c>
      <c r="I8" s="8">
        <v>2022.72</v>
      </c>
      <c r="J8" s="34"/>
    </row>
    <row r="9" spans="1:10" x14ac:dyDescent="0.25">
      <c r="A9" s="26" t="s">
        <v>187</v>
      </c>
      <c r="B9" s="6">
        <v>46254</v>
      </c>
      <c r="C9" s="7" t="s">
        <v>219</v>
      </c>
      <c r="D9" s="8">
        <v>1258.4000000000001</v>
      </c>
      <c r="E9" s="32"/>
      <c r="G9" s="5" t="s">
        <v>34</v>
      </c>
      <c r="H9" s="6">
        <v>46247</v>
      </c>
      <c r="I9" s="24">
        <v>5912.23</v>
      </c>
      <c r="J9" s="32"/>
    </row>
    <row r="10" spans="1:10" x14ac:dyDescent="0.25">
      <c r="A10" s="52" t="s">
        <v>146</v>
      </c>
      <c r="B10" s="28">
        <v>46254</v>
      </c>
      <c r="C10" s="29" t="s">
        <v>220</v>
      </c>
      <c r="D10" s="30">
        <v>1965.57</v>
      </c>
      <c r="E10" s="4"/>
      <c r="G10" s="5" t="s">
        <v>37</v>
      </c>
      <c r="H10" s="6">
        <v>46248</v>
      </c>
      <c r="I10" s="8">
        <v>3198.16</v>
      </c>
      <c r="J10" s="32"/>
    </row>
    <row r="11" spans="1:10" x14ac:dyDescent="0.25">
      <c r="A11" s="12" t="s">
        <v>108</v>
      </c>
      <c r="B11" s="4"/>
      <c r="C11" s="4"/>
      <c r="D11" s="48">
        <f>SUM(D3:D10)</f>
        <v>14837.14</v>
      </c>
      <c r="E11" s="4"/>
      <c r="G11" s="5" t="s">
        <v>50</v>
      </c>
      <c r="H11" s="6">
        <v>46254</v>
      </c>
      <c r="I11" s="8">
        <v>3169.16</v>
      </c>
      <c r="J11" s="32"/>
    </row>
    <row r="12" spans="1:10" x14ac:dyDescent="0.25">
      <c r="A12" s="41"/>
      <c r="B12" s="47"/>
      <c r="C12" s="47"/>
      <c r="D12" s="50"/>
      <c r="E12" s="47"/>
      <c r="G12" s="5" t="s">
        <v>44</v>
      </c>
      <c r="H12" s="6">
        <v>46255</v>
      </c>
      <c r="I12" s="24">
        <v>3432.44</v>
      </c>
      <c r="J12" s="4"/>
    </row>
    <row r="13" spans="1:10" x14ac:dyDescent="0.25">
      <c r="A13" s="92" t="s">
        <v>225</v>
      </c>
      <c r="B13" s="93"/>
      <c r="C13" s="94"/>
      <c r="D13" s="4"/>
      <c r="G13" s="5" t="s">
        <v>49</v>
      </c>
      <c r="H13" s="6">
        <v>46257</v>
      </c>
      <c r="I13" s="24"/>
      <c r="J13" s="4"/>
    </row>
    <row r="14" spans="1:10" x14ac:dyDescent="0.25">
      <c r="A14" s="3" t="s">
        <v>4</v>
      </c>
      <c r="B14" s="3" t="s">
        <v>5</v>
      </c>
      <c r="C14" s="3" t="s">
        <v>3</v>
      </c>
      <c r="D14" s="3" t="s">
        <v>6</v>
      </c>
      <c r="G14" s="5" t="s">
        <v>51</v>
      </c>
      <c r="H14" s="6">
        <v>46259</v>
      </c>
      <c r="I14" s="8">
        <v>6486.44</v>
      </c>
      <c r="J14" s="4"/>
    </row>
    <row r="15" spans="1:10" x14ac:dyDescent="0.25">
      <c r="A15" s="5" t="s">
        <v>9</v>
      </c>
      <c r="B15" s="6">
        <v>46235</v>
      </c>
      <c r="C15" s="9">
        <v>185.26</v>
      </c>
      <c r="D15" s="4"/>
      <c r="G15" s="5" t="s">
        <v>109</v>
      </c>
      <c r="H15" s="6"/>
      <c r="I15" s="8">
        <f>SUM(I3:I14)</f>
        <v>30890.099999999995</v>
      </c>
      <c r="J15" s="4"/>
    </row>
    <row r="16" spans="1:10" x14ac:dyDescent="0.25">
      <c r="A16" s="14" t="s">
        <v>231</v>
      </c>
      <c r="B16" s="15">
        <v>46237</v>
      </c>
      <c r="C16" s="88">
        <v>100.78</v>
      </c>
      <c r="D16" s="17"/>
      <c r="E16" s="43"/>
      <c r="G16" s="47"/>
      <c r="H16" s="47"/>
      <c r="I16" s="47"/>
      <c r="J16" s="47"/>
    </row>
    <row r="17" spans="1:10" x14ac:dyDescent="0.25">
      <c r="A17" s="14" t="s">
        <v>92</v>
      </c>
      <c r="B17" s="15">
        <v>46241</v>
      </c>
      <c r="C17" s="38">
        <v>200</v>
      </c>
      <c r="D17" s="42"/>
      <c r="G17" s="89" t="s">
        <v>224</v>
      </c>
      <c r="H17" s="90"/>
      <c r="I17" s="90"/>
      <c r="J17" s="76"/>
    </row>
    <row r="18" spans="1:10" x14ac:dyDescent="0.25">
      <c r="A18" s="5" t="s">
        <v>22</v>
      </c>
      <c r="B18" s="6">
        <v>46242</v>
      </c>
      <c r="C18" s="18">
        <v>3700</v>
      </c>
      <c r="D18" s="8"/>
      <c r="G18" s="2" t="s">
        <v>0</v>
      </c>
      <c r="H18" s="2" t="s">
        <v>1</v>
      </c>
      <c r="I18" s="2" t="s">
        <v>3</v>
      </c>
      <c r="J18" s="31" t="s">
        <v>6</v>
      </c>
    </row>
    <row r="19" spans="1:10" x14ac:dyDescent="0.25">
      <c r="A19" s="5" t="s">
        <v>10</v>
      </c>
      <c r="B19" s="6">
        <v>46244</v>
      </c>
      <c r="C19" s="9">
        <v>280.37</v>
      </c>
      <c r="D19" s="4"/>
      <c r="G19" s="5" t="s">
        <v>27</v>
      </c>
      <c r="H19" s="6">
        <v>46244</v>
      </c>
      <c r="I19" s="18"/>
      <c r="J19" s="8"/>
    </row>
    <row r="20" spans="1:10" x14ac:dyDescent="0.25">
      <c r="A20" s="5" t="s">
        <v>67</v>
      </c>
      <c r="B20" s="6">
        <v>46244</v>
      </c>
      <c r="C20" s="10">
        <v>254.79</v>
      </c>
      <c r="D20" s="4"/>
      <c r="G20" s="5" t="s">
        <v>31</v>
      </c>
      <c r="H20" s="6">
        <v>46244</v>
      </c>
      <c r="I20" s="18">
        <v>393.15</v>
      </c>
      <c r="J20" s="24"/>
    </row>
    <row r="21" spans="1:10" x14ac:dyDescent="0.25">
      <c r="A21" s="5" t="s">
        <v>13</v>
      </c>
      <c r="B21" s="6">
        <v>46244</v>
      </c>
      <c r="C21" s="11">
        <v>211.4</v>
      </c>
      <c r="D21" s="4"/>
      <c r="G21" s="12" t="s">
        <v>39</v>
      </c>
      <c r="H21" s="6">
        <v>46244</v>
      </c>
      <c r="I21" s="18">
        <v>205.52</v>
      </c>
      <c r="J21" s="8"/>
    </row>
    <row r="22" spans="1:10" x14ac:dyDescent="0.25">
      <c r="A22" s="5" t="s">
        <v>15</v>
      </c>
      <c r="B22" s="6">
        <v>46244</v>
      </c>
      <c r="C22" s="11">
        <v>80</v>
      </c>
      <c r="D22" s="4"/>
      <c r="G22" s="12" t="s">
        <v>207</v>
      </c>
      <c r="H22" s="6">
        <v>46250</v>
      </c>
      <c r="I22" s="18">
        <v>104.7</v>
      </c>
      <c r="J22" s="8"/>
    </row>
    <row r="23" spans="1:10" x14ac:dyDescent="0.25">
      <c r="A23" s="14" t="s">
        <v>90</v>
      </c>
      <c r="B23" s="15">
        <v>46249</v>
      </c>
      <c r="C23" s="16">
        <v>472</v>
      </c>
      <c r="D23" s="17"/>
      <c r="G23" s="5" t="s">
        <v>43</v>
      </c>
      <c r="H23" s="6">
        <v>46251</v>
      </c>
      <c r="I23" s="18">
        <v>711.56</v>
      </c>
      <c r="J23" s="8"/>
    </row>
    <row r="24" spans="1:10" x14ac:dyDescent="0.25">
      <c r="A24" s="5" t="s">
        <v>91</v>
      </c>
      <c r="B24" s="6">
        <v>46249</v>
      </c>
      <c r="C24" s="9">
        <v>116.89</v>
      </c>
      <c r="D24" s="4"/>
      <c r="G24" s="5" t="s">
        <v>103</v>
      </c>
      <c r="H24" s="6">
        <v>46254</v>
      </c>
      <c r="I24" s="18">
        <v>800</v>
      </c>
      <c r="J24" s="8"/>
    </row>
    <row r="25" spans="1:10" x14ac:dyDescent="0.25">
      <c r="A25" s="5" t="s">
        <v>206</v>
      </c>
      <c r="B25" s="6">
        <v>46254</v>
      </c>
      <c r="C25" s="9">
        <v>72.64</v>
      </c>
      <c r="D25" s="4"/>
      <c r="G25" s="4" t="s">
        <v>102</v>
      </c>
      <c r="H25" s="4"/>
      <c r="I25" s="46"/>
      <c r="J25" s="4"/>
    </row>
    <row r="26" spans="1:10" x14ac:dyDescent="0.25">
      <c r="A26" s="5" t="s">
        <v>23</v>
      </c>
      <c r="B26" s="6">
        <v>46255</v>
      </c>
      <c r="C26" s="13">
        <v>180</v>
      </c>
      <c r="D26" s="4"/>
      <c r="G26" s="4" t="s">
        <v>221</v>
      </c>
      <c r="H26" s="74">
        <v>46262</v>
      </c>
      <c r="I26" s="46">
        <v>560.07000000000005</v>
      </c>
      <c r="J26" s="4"/>
    </row>
    <row r="27" spans="1:10" x14ac:dyDescent="0.25">
      <c r="A27" s="5" t="s">
        <v>245</v>
      </c>
      <c r="B27" s="6">
        <v>46262</v>
      </c>
      <c r="C27" s="13">
        <v>5000</v>
      </c>
      <c r="D27" s="4"/>
      <c r="G27" s="4" t="s">
        <v>222</v>
      </c>
      <c r="H27" s="4"/>
      <c r="I27" s="46">
        <v>369.89</v>
      </c>
      <c r="J27" s="4"/>
    </row>
    <row r="28" spans="1:10" x14ac:dyDescent="0.25">
      <c r="A28" s="12" t="s">
        <v>18</v>
      </c>
      <c r="B28" s="6">
        <v>46262</v>
      </c>
      <c r="C28" s="13">
        <v>80</v>
      </c>
      <c r="D28" s="4"/>
      <c r="G28" s="4"/>
      <c r="H28" s="4"/>
      <c r="I28" s="46"/>
      <c r="J28" s="4"/>
    </row>
    <row r="29" spans="1:10" x14ac:dyDescent="0.25">
      <c r="A29" s="5" t="s">
        <v>25</v>
      </c>
      <c r="B29" s="6">
        <v>46263</v>
      </c>
      <c r="C29" s="18">
        <v>1652.79</v>
      </c>
      <c r="D29" s="4"/>
      <c r="G29" s="12" t="s">
        <v>109</v>
      </c>
      <c r="H29" s="4"/>
      <c r="I29" s="48">
        <f>SUM(I19:I28)</f>
        <v>3144.89</v>
      </c>
      <c r="J29" s="4"/>
    </row>
    <row r="30" spans="1:10" x14ac:dyDescent="0.25">
      <c r="A30" s="12" t="s">
        <v>109</v>
      </c>
      <c r="B30" s="4"/>
      <c r="C30" s="62">
        <f>SUM(C15:C29)</f>
        <v>12586.920000000002</v>
      </c>
      <c r="D30" s="4"/>
    </row>
    <row r="31" spans="1:10" x14ac:dyDescent="0.25">
      <c r="A31" s="49"/>
      <c r="B31" s="47"/>
      <c r="C31" s="79"/>
      <c r="D31" s="47"/>
      <c r="G31" s="4" t="s">
        <v>189</v>
      </c>
      <c r="H31" s="4">
        <v>1</v>
      </c>
      <c r="I31" s="46">
        <v>150</v>
      </c>
      <c r="J31" s="74">
        <v>46258</v>
      </c>
    </row>
    <row r="32" spans="1:10" x14ac:dyDescent="0.25">
      <c r="A32" s="4" t="s">
        <v>189</v>
      </c>
      <c r="B32" s="4">
        <v>1</v>
      </c>
      <c r="C32" s="46">
        <v>315</v>
      </c>
      <c r="D32" s="74">
        <v>46251</v>
      </c>
      <c r="G32" s="4"/>
      <c r="H32" s="4">
        <v>2</v>
      </c>
      <c r="I32" s="46">
        <v>150</v>
      </c>
      <c r="J32" s="74">
        <v>46273</v>
      </c>
    </row>
    <row r="33" spans="1:10" x14ac:dyDescent="0.25">
      <c r="A33" s="4"/>
      <c r="B33" s="4">
        <v>2</v>
      </c>
      <c r="C33" s="46">
        <v>315</v>
      </c>
      <c r="D33" s="74">
        <v>46279</v>
      </c>
    </row>
    <row r="34" spans="1:10" x14ac:dyDescent="0.25">
      <c r="A34" s="4"/>
      <c r="B34" s="4">
        <v>3</v>
      </c>
      <c r="C34" s="46">
        <v>315</v>
      </c>
      <c r="D34" s="74">
        <v>46308</v>
      </c>
      <c r="G34" s="52" t="s">
        <v>229</v>
      </c>
      <c r="H34" s="74">
        <v>46235</v>
      </c>
      <c r="I34" s="80" t="s">
        <v>230</v>
      </c>
      <c r="J34" s="46">
        <v>1481.32</v>
      </c>
    </row>
    <row r="35" spans="1:10" x14ac:dyDescent="0.25">
      <c r="A35" s="47"/>
      <c r="B35" s="47"/>
      <c r="C35" s="83"/>
      <c r="D35" s="84"/>
      <c r="F35" s="43"/>
      <c r="G35" s="86"/>
      <c r="H35" s="84"/>
      <c r="I35" s="87"/>
      <c r="J35" s="83"/>
    </row>
    <row r="36" spans="1:10" x14ac:dyDescent="0.25">
      <c r="A36" s="4"/>
      <c r="B36" s="78" t="s">
        <v>228</v>
      </c>
      <c r="C36" s="78"/>
      <c r="D36" s="4"/>
      <c r="G36" s="90" t="s">
        <v>223</v>
      </c>
      <c r="H36" s="90"/>
      <c r="I36" s="90"/>
      <c r="J36" s="4"/>
    </row>
    <row r="37" spans="1:10" x14ac:dyDescent="0.25">
      <c r="A37" s="85" t="s">
        <v>4</v>
      </c>
      <c r="B37" s="85" t="s">
        <v>5</v>
      </c>
      <c r="C37" s="85" t="s">
        <v>3</v>
      </c>
      <c r="D37" s="85" t="s">
        <v>6</v>
      </c>
      <c r="G37" s="3" t="s">
        <v>4</v>
      </c>
      <c r="H37" s="3" t="s">
        <v>5</v>
      </c>
      <c r="I37" s="3" t="s">
        <v>3</v>
      </c>
      <c r="J37" s="3" t="s">
        <v>6</v>
      </c>
    </row>
    <row r="38" spans="1:10" x14ac:dyDescent="0.25">
      <c r="A38" s="5" t="s">
        <v>86</v>
      </c>
      <c r="B38" s="6">
        <v>46244</v>
      </c>
      <c r="C38" s="18">
        <v>192.62</v>
      </c>
      <c r="D38" s="24"/>
      <c r="E38" s="47"/>
      <c r="G38" s="5" t="s">
        <v>121</v>
      </c>
      <c r="H38" s="6">
        <v>46254</v>
      </c>
      <c r="I38" s="18">
        <v>330.6</v>
      </c>
      <c r="J38" s="24"/>
    </row>
    <row r="39" spans="1:10" x14ac:dyDescent="0.25">
      <c r="A39" s="5" t="s">
        <v>211</v>
      </c>
      <c r="B39" s="6">
        <v>46254</v>
      </c>
      <c r="C39" s="18">
        <v>70.27</v>
      </c>
      <c r="D39" s="8"/>
      <c r="G39" s="5" t="s">
        <v>175</v>
      </c>
      <c r="H39" s="6">
        <v>46254</v>
      </c>
      <c r="I39" s="18">
        <v>188.2</v>
      </c>
      <c r="J39" s="8"/>
    </row>
    <row r="40" spans="1:10" x14ac:dyDescent="0.25">
      <c r="A40" s="12" t="s">
        <v>94</v>
      </c>
      <c r="B40" s="28">
        <v>46254</v>
      </c>
      <c r="C40" s="46">
        <v>500</v>
      </c>
      <c r="D40" s="35"/>
      <c r="G40" s="12" t="s">
        <v>123</v>
      </c>
      <c r="H40" s="28">
        <v>46254</v>
      </c>
      <c r="I40" s="46">
        <v>300</v>
      </c>
      <c r="J40" s="35"/>
    </row>
    <row r="41" spans="1:10" x14ac:dyDescent="0.25">
      <c r="A41" s="5" t="s">
        <v>212</v>
      </c>
      <c r="B41" s="6">
        <v>46254</v>
      </c>
      <c r="C41" s="18">
        <v>324.31</v>
      </c>
      <c r="D41" s="8"/>
      <c r="G41" s="5" t="s">
        <v>109</v>
      </c>
      <c r="H41" s="6"/>
      <c r="I41" s="8">
        <f>SUM(I38:I40)</f>
        <v>818.8</v>
      </c>
      <c r="J41" s="4"/>
    </row>
    <row r="42" spans="1:10" x14ac:dyDescent="0.25">
      <c r="A42" s="5" t="s">
        <v>104</v>
      </c>
      <c r="B42" s="6">
        <v>46254</v>
      </c>
      <c r="C42" s="18">
        <v>136.08000000000001</v>
      </c>
      <c r="D42" s="8"/>
    </row>
    <row r="43" spans="1:10" x14ac:dyDescent="0.25">
      <c r="A43" s="5" t="s">
        <v>119</v>
      </c>
      <c r="B43" s="6">
        <v>46254</v>
      </c>
      <c r="C43" s="18">
        <v>787.34</v>
      </c>
      <c r="D43" s="8"/>
    </row>
    <row r="44" spans="1:10" x14ac:dyDescent="0.25">
      <c r="A44" s="5" t="s">
        <v>175</v>
      </c>
      <c r="B44" s="6">
        <v>46254</v>
      </c>
      <c r="C44" s="18">
        <v>584.62</v>
      </c>
      <c r="D44" s="8"/>
      <c r="E44" t="s">
        <v>186</v>
      </c>
    </row>
    <row r="45" spans="1:10" x14ac:dyDescent="0.25">
      <c r="A45" s="5" t="s">
        <v>214</v>
      </c>
      <c r="B45" s="6">
        <v>46264</v>
      </c>
      <c r="C45" s="18">
        <v>268.41000000000003</v>
      </c>
      <c r="D45" s="8"/>
    </row>
    <row r="46" spans="1:10" x14ac:dyDescent="0.25">
      <c r="A46" s="5" t="s">
        <v>118</v>
      </c>
      <c r="B46" s="6">
        <v>46264</v>
      </c>
      <c r="C46" s="18">
        <v>186.09</v>
      </c>
      <c r="D46" s="8"/>
    </row>
    <row r="47" spans="1:10" x14ac:dyDescent="0.25">
      <c r="A47" s="5" t="s">
        <v>128</v>
      </c>
      <c r="B47" s="6"/>
      <c r="C47" s="70">
        <f>SUM(C38:C46)</f>
        <v>3049.74</v>
      </c>
      <c r="D47" s="8"/>
    </row>
    <row r="49" spans="1:4" x14ac:dyDescent="0.25">
      <c r="A49" s="44" t="s">
        <v>28</v>
      </c>
      <c r="B49" s="44" t="s">
        <v>29</v>
      </c>
      <c r="C49" s="44" t="s">
        <v>30</v>
      </c>
      <c r="D49" s="3" t="s">
        <v>6</v>
      </c>
    </row>
    <row r="50" spans="1:4" x14ac:dyDescent="0.25">
      <c r="A50" s="78" t="s">
        <v>32</v>
      </c>
      <c r="B50" s="4"/>
      <c r="C50" s="26"/>
      <c r="D50" s="8"/>
    </row>
    <row r="51" spans="1:4" x14ac:dyDescent="0.25">
      <c r="A51" s="78" t="s">
        <v>213</v>
      </c>
      <c r="B51" s="26"/>
      <c r="C51" s="26"/>
      <c r="D51" s="24"/>
    </row>
    <row r="52" spans="1:4" x14ac:dyDescent="0.25">
      <c r="A52" s="78" t="s">
        <v>36</v>
      </c>
      <c r="B52" s="26"/>
      <c r="C52" s="26"/>
      <c r="D52" s="35"/>
    </row>
    <row r="53" spans="1:4" x14ac:dyDescent="0.25">
      <c r="A53" s="78" t="s">
        <v>93</v>
      </c>
      <c r="B53" s="6"/>
      <c r="C53" s="7"/>
      <c r="D53" s="24"/>
    </row>
    <row r="55" spans="1:4" x14ac:dyDescent="0.25">
      <c r="A55" t="s">
        <v>186</v>
      </c>
    </row>
  </sheetData>
  <mergeCells count="5">
    <mergeCell ref="G36:I36"/>
    <mergeCell ref="A1:C1"/>
    <mergeCell ref="G1:I1"/>
    <mergeCell ref="A13:C13"/>
    <mergeCell ref="G17:I17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abSelected="1" topLeftCell="A10" workbookViewId="0">
      <selection activeCell="E22" sqref="E22"/>
    </sheetView>
  </sheetViews>
  <sheetFormatPr defaultRowHeight="15" x14ac:dyDescent="0.25"/>
  <cols>
    <col min="1" max="1" width="22.42578125" customWidth="1"/>
    <col min="2" max="2" width="11" customWidth="1"/>
    <col min="3" max="3" width="12.85546875" customWidth="1"/>
    <col min="4" max="4" width="13.28515625" customWidth="1"/>
    <col min="7" max="7" width="23.140625" customWidth="1"/>
    <col min="8" max="8" width="12.140625" customWidth="1"/>
    <col min="9" max="9" width="11" customWidth="1"/>
    <col min="10" max="10" width="12.42578125" customWidth="1"/>
  </cols>
  <sheetData>
    <row r="1" spans="1:10" x14ac:dyDescent="0.25">
      <c r="A1" s="89" t="s">
        <v>232</v>
      </c>
      <c r="B1" s="90"/>
      <c r="C1" s="90"/>
      <c r="D1" s="81"/>
      <c r="E1" s="82"/>
      <c r="G1" s="89" t="s">
        <v>233</v>
      </c>
      <c r="H1" s="90"/>
      <c r="I1" s="90"/>
      <c r="J1" s="81"/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31" t="s">
        <v>6</v>
      </c>
      <c r="G2" s="2" t="s">
        <v>0</v>
      </c>
      <c r="H2" s="2" t="s">
        <v>1</v>
      </c>
      <c r="I2" s="2" t="s">
        <v>3</v>
      </c>
      <c r="J2" s="31" t="s">
        <v>6</v>
      </c>
    </row>
    <row r="3" spans="1:10" x14ac:dyDescent="0.25">
      <c r="A3" s="26" t="s">
        <v>153</v>
      </c>
      <c r="B3" s="6">
        <v>46269</v>
      </c>
      <c r="C3" s="7" t="s">
        <v>238</v>
      </c>
      <c r="D3" s="8">
        <v>2440</v>
      </c>
      <c r="E3" s="32"/>
      <c r="G3" s="5" t="s">
        <v>11</v>
      </c>
      <c r="H3" s="6">
        <v>46267</v>
      </c>
      <c r="I3" s="8"/>
      <c r="J3" s="32"/>
    </row>
    <row r="4" spans="1:10" x14ac:dyDescent="0.25">
      <c r="A4" s="26" t="s">
        <v>151</v>
      </c>
      <c r="B4" s="6">
        <v>46271</v>
      </c>
      <c r="C4" s="7" t="s">
        <v>239</v>
      </c>
      <c r="D4" s="8">
        <v>1571</v>
      </c>
      <c r="E4" s="32"/>
      <c r="G4" s="5" t="s">
        <v>167</v>
      </c>
      <c r="H4" s="6">
        <v>46268</v>
      </c>
      <c r="I4" s="8"/>
      <c r="J4" s="32"/>
    </row>
    <row r="5" spans="1:10" x14ac:dyDescent="0.25">
      <c r="A5" s="26" t="s">
        <v>150</v>
      </c>
      <c r="B5" s="6">
        <v>46271</v>
      </c>
      <c r="C5" s="7" t="s">
        <v>141</v>
      </c>
      <c r="D5" s="8">
        <v>3313.25</v>
      </c>
      <c r="E5" s="32"/>
      <c r="G5" s="5" t="s">
        <v>12</v>
      </c>
      <c r="H5" s="6">
        <v>46268</v>
      </c>
      <c r="I5" s="8"/>
      <c r="J5" s="32"/>
    </row>
    <row r="6" spans="1:10" x14ac:dyDescent="0.25">
      <c r="A6" s="26" t="s">
        <v>149</v>
      </c>
      <c r="B6" s="6">
        <v>46278</v>
      </c>
      <c r="C6" s="7" t="s">
        <v>192</v>
      </c>
      <c r="D6" s="8">
        <v>724.02</v>
      </c>
      <c r="E6" s="32"/>
      <c r="G6" s="5" t="s">
        <v>14</v>
      </c>
      <c r="H6" s="6">
        <v>46268</v>
      </c>
      <c r="I6" s="8"/>
      <c r="J6" s="32"/>
    </row>
    <row r="7" spans="1:10" x14ac:dyDescent="0.25">
      <c r="A7" s="26" t="s">
        <v>148</v>
      </c>
      <c r="B7" s="6">
        <v>46283</v>
      </c>
      <c r="C7" s="7" t="s">
        <v>240</v>
      </c>
      <c r="D7" s="8">
        <v>2464</v>
      </c>
      <c r="E7" s="32"/>
      <c r="G7" s="5" t="s">
        <v>24</v>
      </c>
      <c r="H7" s="6">
        <v>46274</v>
      </c>
      <c r="I7" s="8"/>
      <c r="J7" s="32"/>
    </row>
    <row r="8" spans="1:10" x14ac:dyDescent="0.25">
      <c r="A8" s="26" t="s">
        <v>147</v>
      </c>
      <c r="B8" s="6">
        <v>46284</v>
      </c>
      <c r="C8" s="7" t="s">
        <v>241</v>
      </c>
      <c r="D8" s="8">
        <v>1100.9000000000001</v>
      </c>
      <c r="E8" s="32"/>
      <c r="G8" s="5" t="s">
        <v>155</v>
      </c>
      <c r="H8" s="6">
        <v>46274</v>
      </c>
      <c r="I8" s="8"/>
      <c r="J8" s="34"/>
    </row>
    <row r="9" spans="1:10" x14ac:dyDescent="0.25">
      <c r="A9" s="26" t="s">
        <v>187</v>
      </c>
      <c r="B9" s="6">
        <v>46285</v>
      </c>
      <c r="C9" s="7" t="s">
        <v>242</v>
      </c>
      <c r="D9" s="8">
        <v>1258.4000000000001</v>
      </c>
      <c r="E9" s="32"/>
      <c r="G9" s="5" t="s">
        <v>34</v>
      </c>
      <c r="H9" s="6">
        <v>46278</v>
      </c>
      <c r="I9" s="24"/>
      <c r="J9" s="32"/>
    </row>
    <row r="10" spans="1:10" x14ac:dyDescent="0.25">
      <c r="A10" s="52" t="s">
        <v>146</v>
      </c>
      <c r="B10" s="28">
        <v>46285</v>
      </c>
      <c r="C10" s="29" t="s">
        <v>243</v>
      </c>
      <c r="D10" s="30">
        <v>1965.57</v>
      </c>
      <c r="E10" s="4"/>
      <c r="G10" s="5" t="s">
        <v>37</v>
      </c>
      <c r="H10" s="6">
        <v>46279</v>
      </c>
      <c r="I10" s="8"/>
      <c r="J10" s="32"/>
    </row>
    <row r="11" spans="1:10" x14ac:dyDescent="0.25">
      <c r="A11" s="12" t="s">
        <v>108</v>
      </c>
      <c r="B11" s="4"/>
      <c r="C11" s="4"/>
      <c r="D11" s="48">
        <f>SUM(D3:D10)</f>
        <v>14837.14</v>
      </c>
      <c r="E11" s="4"/>
      <c r="G11" s="5" t="s">
        <v>50</v>
      </c>
      <c r="H11" s="6">
        <v>46285</v>
      </c>
      <c r="I11" s="8"/>
      <c r="J11" s="32"/>
    </row>
    <row r="12" spans="1:10" x14ac:dyDescent="0.25">
      <c r="A12" s="41"/>
      <c r="B12" s="47"/>
      <c r="C12" s="47"/>
      <c r="D12" s="50"/>
      <c r="E12" s="47"/>
      <c r="G12" s="5" t="s">
        <v>44</v>
      </c>
      <c r="H12" s="6">
        <v>46286</v>
      </c>
      <c r="I12" s="24"/>
      <c r="J12" s="4"/>
    </row>
    <row r="13" spans="1:10" x14ac:dyDescent="0.25">
      <c r="A13" s="92" t="s">
        <v>234</v>
      </c>
      <c r="B13" s="93"/>
      <c r="C13" s="94"/>
      <c r="D13" s="4"/>
      <c r="G13" s="5" t="s">
        <v>49</v>
      </c>
      <c r="H13" s="6">
        <v>46288</v>
      </c>
      <c r="I13" s="24"/>
      <c r="J13" s="4"/>
    </row>
    <row r="14" spans="1:10" x14ac:dyDescent="0.25">
      <c r="A14" s="3" t="s">
        <v>4</v>
      </c>
      <c r="B14" s="3" t="s">
        <v>5</v>
      </c>
      <c r="C14" s="3" t="s">
        <v>3</v>
      </c>
      <c r="D14" s="3" t="s">
        <v>6</v>
      </c>
      <c r="G14" s="5" t="s">
        <v>51</v>
      </c>
      <c r="H14" s="6">
        <v>46290</v>
      </c>
      <c r="I14" s="8"/>
      <c r="J14" s="4"/>
    </row>
    <row r="15" spans="1:10" x14ac:dyDescent="0.25">
      <c r="A15" s="5" t="s">
        <v>9</v>
      </c>
      <c r="B15" s="6">
        <v>46266</v>
      </c>
      <c r="C15" s="9"/>
      <c r="D15" s="4"/>
      <c r="G15" s="5" t="s">
        <v>109</v>
      </c>
      <c r="H15" s="6"/>
      <c r="I15" s="8">
        <f>SUM(I3:I14)</f>
        <v>0</v>
      </c>
      <c r="J15" s="4"/>
    </row>
    <row r="16" spans="1:10" x14ac:dyDescent="0.25">
      <c r="A16" s="14" t="s">
        <v>92</v>
      </c>
      <c r="B16" s="15">
        <v>46272</v>
      </c>
      <c r="C16" s="38">
        <v>200</v>
      </c>
      <c r="D16" s="42"/>
      <c r="E16" s="43"/>
      <c r="G16" s="47"/>
      <c r="H16" s="47"/>
      <c r="I16" s="47"/>
      <c r="J16" s="47"/>
    </row>
    <row r="17" spans="1:10" x14ac:dyDescent="0.25">
      <c r="A17" s="5" t="s">
        <v>22</v>
      </c>
      <c r="B17" s="6">
        <v>46273</v>
      </c>
      <c r="C17" s="18">
        <v>3700</v>
      </c>
      <c r="D17" s="8"/>
      <c r="G17" s="89" t="s">
        <v>235</v>
      </c>
      <c r="H17" s="90"/>
      <c r="I17" s="90"/>
      <c r="J17" s="81"/>
    </row>
    <row r="18" spans="1:10" x14ac:dyDescent="0.25">
      <c r="A18" s="5" t="s">
        <v>10</v>
      </c>
      <c r="B18" s="6">
        <v>46275</v>
      </c>
      <c r="C18" s="9"/>
      <c r="D18" s="4"/>
      <c r="G18" s="2" t="s">
        <v>0</v>
      </c>
      <c r="H18" s="2" t="s">
        <v>1</v>
      </c>
      <c r="I18" s="2" t="s">
        <v>3</v>
      </c>
      <c r="J18" s="31" t="s">
        <v>6</v>
      </c>
    </row>
    <row r="19" spans="1:10" x14ac:dyDescent="0.25">
      <c r="A19" s="5" t="s">
        <v>67</v>
      </c>
      <c r="B19" s="6">
        <v>46275</v>
      </c>
      <c r="C19" s="10"/>
      <c r="D19" s="4"/>
      <c r="G19" s="5" t="s">
        <v>27</v>
      </c>
      <c r="H19" s="6">
        <v>46275</v>
      </c>
      <c r="I19" s="18"/>
      <c r="J19" s="8"/>
    </row>
    <row r="20" spans="1:10" x14ac:dyDescent="0.25">
      <c r="A20" s="5" t="s">
        <v>13</v>
      </c>
      <c r="B20" s="6">
        <v>46275</v>
      </c>
      <c r="C20" s="11"/>
      <c r="D20" s="4"/>
      <c r="G20" s="5" t="s">
        <v>31</v>
      </c>
      <c r="H20" s="6">
        <v>46275</v>
      </c>
      <c r="I20" s="18"/>
      <c r="J20" s="24"/>
    </row>
    <row r="21" spans="1:10" x14ac:dyDescent="0.25">
      <c r="A21" s="5" t="s">
        <v>15</v>
      </c>
      <c r="B21" s="6">
        <v>46275</v>
      </c>
      <c r="C21" s="11">
        <v>80</v>
      </c>
      <c r="D21" s="4"/>
      <c r="G21" s="12" t="s">
        <v>39</v>
      </c>
      <c r="H21" s="6">
        <v>46275</v>
      </c>
      <c r="I21" s="18"/>
      <c r="J21" s="8"/>
    </row>
    <row r="22" spans="1:10" x14ac:dyDescent="0.25">
      <c r="A22" s="14" t="s">
        <v>90</v>
      </c>
      <c r="B22" s="15">
        <v>46280</v>
      </c>
      <c r="C22" s="16">
        <v>472</v>
      </c>
      <c r="D22" s="17"/>
      <c r="G22" s="12" t="s">
        <v>207</v>
      </c>
      <c r="H22" s="6">
        <v>46281</v>
      </c>
      <c r="I22" s="18"/>
      <c r="J22" s="8"/>
    </row>
    <row r="23" spans="1:10" x14ac:dyDescent="0.25">
      <c r="A23" s="5" t="s">
        <v>91</v>
      </c>
      <c r="B23" s="6">
        <v>46280</v>
      </c>
      <c r="C23" s="9">
        <v>116.89</v>
      </c>
      <c r="D23" s="4"/>
      <c r="G23" s="5" t="s">
        <v>43</v>
      </c>
      <c r="H23" s="6">
        <v>46282</v>
      </c>
      <c r="I23" s="18"/>
      <c r="J23" s="8"/>
    </row>
    <row r="24" spans="1:10" x14ac:dyDescent="0.25">
      <c r="A24" s="5" t="s">
        <v>206</v>
      </c>
      <c r="B24" s="6">
        <v>46285</v>
      </c>
      <c r="C24" s="9">
        <v>72.64</v>
      </c>
      <c r="D24" s="4"/>
      <c r="G24" s="5" t="s">
        <v>103</v>
      </c>
      <c r="H24" s="6">
        <v>46285</v>
      </c>
      <c r="I24" s="18"/>
      <c r="J24" s="8"/>
    </row>
    <row r="25" spans="1:10" x14ac:dyDescent="0.25">
      <c r="A25" s="5" t="s">
        <v>23</v>
      </c>
      <c r="B25" s="6">
        <v>46286</v>
      </c>
      <c r="C25" s="13">
        <v>180</v>
      </c>
      <c r="D25" s="4"/>
      <c r="G25" s="4" t="s">
        <v>102</v>
      </c>
      <c r="H25" s="4"/>
      <c r="I25" s="46"/>
      <c r="J25" s="4"/>
    </row>
    <row r="26" spans="1:10" x14ac:dyDescent="0.25">
      <c r="A26" s="5" t="s">
        <v>246</v>
      </c>
      <c r="B26" s="6">
        <v>46293</v>
      </c>
      <c r="C26" s="13">
        <v>5000</v>
      </c>
      <c r="D26" s="4"/>
      <c r="G26" s="4" t="s">
        <v>221</v>
      </c>
      <c r="H26" s="74">
        <v>46293</v>
      </c>
      <c r="I26" s="46">
        <v>560.07000000000005</v>
      </c>
      <c r="J26" s="4"/>
    </row>
    <row r="27" spans="1:10" x14ac:dyDescent="0.25">
      <c r="A27" s="12" t="s">
        <v>18</v>
      </c>
      <c r="B27" s="6">
        <v>46293</v>
      </c>
      <c r="C27" s="13">
        <v>80</v>
      </c>
      <c r="D27" s="4"/>
      <c r="G27" s="4" t="s">
        <v>248</v>
      </c>
      <c r="H27" s="4"/>
      <c r="I27" s="46">
        <v>369.89</v>
      </c>
      <c r="J27" s="4"/>
    </row>
    <row r="28" spans="1:10" x14ac:dyDescent="0.25">
      <c r="A28" s="5" t="s">
        <v>25</v>
      </c>
      <c r="B28" s="6">
        <v>46294</v>
      </c>
      <c r="C28" s="18">
        <v>1652.79</v>
      </c>
      <c r="D28" s="4"/>
      <c r="G28" s="4"/>
      <c r="H28" s="4"/>
      <c r="I28" s="46"/>
      <c r="J28" s="4"/>
    </row>
    <row r="29" spans="1:10" x14ac:dyDescent="0.25">
      <c r="A29" s="12" t="s">
        <v>109</v>
      </c>
      <c r="B29" s="4"/>
      <c r="C29" s="62"/>
      <c r="D29" s="4"/>
      <c r="G29" s="12" t="s">
        <v>109</v>
      </c>
      <c r="H29" s="4"/>
      <c r="I29" s="48"/>
      <c r="J29" s="4"/>
    </row>
    <row r="30" spans="1:10" x14ac:dyDescent="0.25">
      <c r="A30" s="49"/>
      <c r="B30" s="47"/>
      <c r="C30" s="79"/>
      <c r="D30" s="47"/>
    </row>
    <row r="31" spans="1:10" x14ac:dyDescent="0.25">
      <c r="A31" s="4" t="s">
        <v>189</v>
      </c>
      <c r="B31" s="4"/>
      <c r="C31" s="46"/>
      <c r="D31" s="74"/>
      <c r="G31" s="4" t="s">
        <v>189</v>
      </c>
      <c r="H31" s="4"/>
      <c r="I31" s="46"/>
      <c r="J31" s="74"/>
    </row>
    <row r="32" spans="1:10" x14ac:dyDescent="0.25">
      <c r="A32" s="4"/>
      <c r="B32" s="4">
        <v>2</v>
      </c>
      <c r="C32" s="46">
        <v>315</v>
      </c>
      <c r="D32" s="74">
        <v>46279</v>
      </c>
      <c r="G32" s="4"/>
      <c r="H32" s="4">
        <v>2</v>
      </c>
      <c r="I32" s="46">
        <v>150</v>
      </c>
      <c r="J32" s="74">
        <v>46273</v>
      </c>
    </row>
    <row r="33" spans="1:10" x14ac:dyDescent="0.25">
      <c r="A33" s="4"/>
      <c r="B33" s="4">
        <v>3</v>
      </c>
      <c r="C33" s="46">
        <v>315</v>
      </c>
      <c r="D33" s="74">
        <v>46308</v>
      </c>
    </row>
    <row r="34" spans="1:10" x14ac:dyDescent="0.25">
      <c r="A34" s="47"/>
      <c r="B34" s="47"/>
      <c r="C34" s="83"/>
      <c r="D34" s="84"/>
      <c r="G34" s="52" t="s">
        <v>229</v>
      </c>
      <c r="H34" s="74">
        <v>46235</v>
      </c>
      <c r="I34" s="80" t="s">
        <v>244</v>
      </c>
      <c r="J34" s="46">
        <v>1481.32</v>
      </c>
    </row>
    <row r="35" spans="1:10" x14ac:dyDescent="0.25">
      <c r="A35" s="4"/>
      <c r="B35" s="81" t="s">
        <v>236</v>
      </c>
      <c r="C35" s="81"/>
      <c r="D35" s="4"/>
      <c r="F35" s="43"/>
      <c r="G35" s="86"/>
      <c r="H35" s="84"/>
      <c r="I35" s="87"/>
      <c r="J35" s="83"/>
    </row>
    <row r="36" spans="1:10" x14ac:dyDescent="0.25">
      <c r="A36" s="85" t="s">
        <v>4</v>
      </c>
      <c r="B36" s="85" t="s">
        <v>5</v>
      </c>
      <c r="C36" s="85" t="s">
        <v>3</v>
      </c>
      <c r="D36" s="85" t="s">
        <v>6</v>
      </c>
      <c r="G36" s="90" t="s">
        <v>237</v>
      </c>
      <c r="H36" s="90"/>
      <c r="I36" s="90"/>
      <c r="J36" s="4"/>
    </row>
    <row r="37" spans="1:10" x14ac:dyDescent="0.25">
      <c r="A37" s="5" t="s">
        <v>214</v>
      </c>
      <c r="B37" s="6">
        <v>46275</v>
      </c>
      <c r="C37" s="18"/>
      <c r="D37" s="24"/>
      <c r="G37" s="3" t="s">
        <v>4</v>
      </c>
      <c r="H37" s="3" t="s">
        <v>5</v>
      </c>
      <c r="I37" s="3" t="s">
        <v>3</v>
      </c>
      <c r="J37" s="3" t="s">
        <v>6</v>
      </c>
    </row>
    <row r="38" spans="1:10" x14ac:dyDescent="0.25">
      <c r="A38" s="5" t="s">
        <v>211</v>
      </c>
      <c r="B38" s="6">
        <v>46285</v>
      </c>
      <c r="C38" s="18"/>
      <c r="D38" s="8"/>
      <c r="E38" s="47"/>
      <c r="G38" s="5" t="s">
        <v>121</v>
      </c>
      <c r="H38" s="6">
        <v>46285</v>
      </c>
      <c r="I38" s="18"/>
      <c r="J38" s="24"/>
    </row>
    <row r="39" spans="1:10" x14ac:dyDescent="0.25">
      <c r="A39" s="12" t="s">
        <v>94</v>
      </c>
      <c r="B39" s="28">
        <v>46285</v>
      </c>
      <c r="C39" s="46"/>
      <c r="D39" s="35"/>
      <c r="G39" s="5" t="s">
        <v>175</v>
      </c>
      <c r="H39" s="6">
        <v>46285</v>
      </c>
      <c r="I39" s="18"/>
      <c r="J39" s="8"/>
    </row>
    <row r="40" spans="1:10" x14ac:dyDescent="0.25">
      <c r="A40" s="5" t="s">
        <v>212</v>
      </c>
      <c r="B40" s="6">
        <v>46285</v>
      </c>
      <c r="C40" s="18"/>
      <c r="D40" s="8"/>
      <c r="G40" s="12" t="s">
        <v>123</v>
      </c>
      <c r="H40" s="28">
        <v>46285</v>
      </c>
      <c r="I40" s="46"/>
      <c r="J40" s="35"/>
    </row>
    <row r="41" spans="1:10" x14ac:dyDescent="0.25">
      <c r="A41" s="5" t="s">
        <v>104</v>
      </c>
      <c r="B41" s="6">
        <v>46285</v>
      </c>
      <c r="C41" s="18"/>
      <c r="D41" s="8"/>
      <c r="G41" s="5" t="s">
        <v>109</v>
      </c>
      <c r="H41" s="6"/>
      <c r="I41" s="8">
        <f>SUM(I38:I40)</f>
        <v>0</v>
      </c>
      <c r="J41" s="4"/>
    </row>
    <row r="42" spans="1:10" x14ac:dyDescent="0.25">
      <c r="A42" s="5" t="s">
        <v>119</v>
      </c>
      <c r="B42" s="6">
        <v>46285</v>
      </c>
      <c r="C42" s="18"/>
      <c r="D42" s="8"/>
    </row>
    <row r="43" spans="1:10" x14ac:dyDescent="0.25">
      <c r="A43" s="5" t="s">
        <v>175</v>
      </c>
      <c r="B43" s="6">
        <v>46285</v>
      </c>
      <c r="C43" s="18"/>
      <c r="D43" s="8"/>
    </row>
    <row r="44" spans="1:10" x14ac:dyDescent="0.25">
      <c r="A44" s="5" t="s">
        <v>118</v>
      </c>
      <c r="B44" s="6">
        <v>46295</v>
      </c>
      <c r="C44" s="18"/>
      <c r="D44" s="8"/>
      <c r="E44" t="s">
        <v>186</v>
      </c>
    </row>
    <row r="45" spans="1:10" x14ac:dyDescent="0.25">
      <c r="A45" s="5" t="s">
        <v>128</v>
      </c>
      <c r="B45" s="6"/>
      <c r="C45" s="70">
        <f>SUM(C37:C44)</f>
        <v>0</v>
      </c>
      <c r="D45" s="8"/>
    </row>
    <row r="47" spans="1:10" x14ac:dyDescent="0.25">
      <c r="A47" s="44" t="s">
        <v>28</v>
      </c>
      <c r="B47" s="44" t="s">
        <v>29</v>
      </c>
      <c r="C47" s="44" t="s">
        <v>30</v>
      </c>
      <c r="D47" s="3" t="s">
        <v>6</v>
      </c>
    </row>
    <row r="48" spans="1:10" x14ac:dyDescent="0.25">
      <c r="A48" s="81" t="s">
        <v>32</v>
      </c>
      <c r="B48" s="4"/>
      <c r="C48" s="26"/>
      <c r="D48" s="8"/>
    </row>
    <row r="49" spans="1:4" x14ac:dyDescent="0.25">
      <c r="A49" s="81" t="s">
        <v>213</v>
      </c>
      <c r="B49" s="26"/>
      <c r="C49" s="26"/>
      <c r="D49" s="24"/>
    </row>
    <row r="50" spans="1:4" x14ac:dyDescent="0.25">
      <c r="A50" s="81" t="s">
        <v>36</v>
      </c>
      <c r="B50" s="26"/>
      <c r="C50" s="26"/>
      <c r="D50" s="35"/>
    </row>
    <row r="51" spans="1:4" x14ac:dyDescent="0.25">
      <c r="A51" s="81" t="s">
        <v>93</v>
      </c>
      <c r="B51" s="6"/>
      <c r="C51" s="7"/>
      <c r="D51" s="24"/>
    </row>
    <row r="53" spans="1:4" x14ac:dyDescent="0.25">
      <c r="A53" t="s">
        <v>186</v>
      </c>
    </row>
  </sheetData>
  <mergeCells count="5">
    <mergeCell ref="A1:C1"/>
    <mergeCell ref="G1:I1"/>
    <mergeCell ref="A13:C13"/>
    <mergeCell ref="G17:I17"/>
    <mergeCell ref="G36:I36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JAN 2026</vt:lpstr>
      <vt:lpstr>FEV 2026</vt:lpstr>
      <vt:lpstr>MAR 2026</vt:lpstr>
      <vt:lpstr>ABR 2026</vt:lpstr>
      <vt:lpstr>MAIO 2026</vt:lpstr>
      <vt:lpstr>JUNH 2026</vt:lpstr>
      <vt:lpstr>JULHO 2026</vt:lpstr>
      <vt:lpstr>AGOSTO 26</vt:lpstr>
      <vt:lpstr>set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2026-08-31T13:53:18Z</cp:lastPrinted>
  <dcterms:created xsi:type="dcterms:W3CDTF">2026-01-31T13:34:32Z</dcterms:created>
  <dcterms:modified xsi:type="dcterms:W3CDTF">2026-09-03T17:14:46Z</dcterms:modified>
</cp:coreProperties>
</file>